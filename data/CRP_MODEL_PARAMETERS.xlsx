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jinsu/Documents/GitHub/climate_risk_premium/data/"/>
    </mc:Choice>
  </mc:AlternateContent>
  <xr:revisionPtr revIDLastSave="0" documentId="13_ncr:1_{013BFBAC-BE90-7D49-8CCD-C794FC3DB28A}" xr6:coauthVersionLast="47" xr6:coauthVersionMax="47" xr10:uidLastSave="{00000000-0000-0000-0000-000000000000}"/>
  <bookViews>
    <workbookView xWindow="0" yWindow="600" windowWidth="38400" windowHeight="19720" activeTab="3" xr2:uid="{00000000-000D-0000-FFFF-FFFF00000000}"/>
  </bookViews>
  <sheets>
    <sheet name="모델 결과" sheetId="1" r:id="rId1"/>
    <sheet name="물리적 리스크" sheetId="2" r:id="rId2"/>
    <sheet name="전환 리스크" sheetId="3" r:id="rId3"/>
    <sheet name="재무 및 신용" sheetId="4" r:id="rId4"/>
    <sheet name="데이터 흐름도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5" l="1"/>
</calcChain>
</file>

<file path=xl/sharedStrings.xml><?xml version="1.0" encoding="utf-8"?>
<sst xmlns="http://schemas.openxmlformats.org/spreadsheetml/2006/main" count="784" uniqueCount="406">
  <si>
    <t>CRP Model Results (2026-05-04)</t>
  </si>
  <si>
    <t>Physical: wildfire (exponential failure) + PhysRisk (drought/water)</t>
  </si>
  <si>
    <t>Transition: coal phase-out only (dispatch penalty=0, K-ETS=0)</t>
  </si>
  <si>
    <t>Scenario</t>
  </si>
  <si>
    <t>NPV (M USD)</t>
  </si>
  <si>
    <t>IRR (%)</t>
  </si>
  <si>
    <t>DSCR</t>
  </si>
  <si>
    <t>Rating</t>
  </si>
  <si>
    <t>CRP (bps)</t>
  </si>
  <si>
    <t>baseline</t>
  </si>
  <si>
    <t>BBB</t>
  </si>
  <si>
    <t>moderate_transition</t>
  </si>
  <si>
    <t>aggressive_transition</t>
  </si>
  <si>
    <t>moderate_physical</t>
  </si>
  <si>
    <t>high_physical</t>
  </si>
  <si>
    <t>combined_moderate</t>
  </si>
  <si>
    <t>combined_aggressive</t>
  </si>
  <si>
    <t>low_demand</t>
  </si>
  <si>
    <t>BB</t>
  </si>
  <si>
    <t>severe_drought</t>
  </si>
  <si>
    <t>enhanced_11th_plan</t>
  </si>
  <si>
    <t>enhanced_combined</t>
  </si>
  <si>
    <t>Hazard Baselines (wildfire only active)</t>
  </si>
  <si>
    <t>hazard_type</t>
  </si>
  <si>
    <t>base_frequency</t>
  </si>
  <si>
    <t>base_intensity</t>
  </si>
  <si>
    <t>intensity_unit</t>
  </si>
  <si>
    <t>outage_rate</t>
  </si>
  <si>
    <t>capacity_derate</t>
  </si>
  <si>
    <t>efficiency_loss</t>
  </si>
  <si>
    <t>damage_ratio</t>
  </si>
  <si>
    <t>confidence_low</t>
  </si>
  <si>
    <t>confidence_high</t>
  </si>
  <si>
    <t>source</t>
  </si>
  <si>
    <t>methodology</t>
  </si>
  <si>
    <t>climada_events</t>
  </si>
  <si>
    <t>climada_years</t>
  </si>
  <si>
    <t>source_url</t>
  </si>
  <si>
    <t>wildfire</t>
  </si>
  <si>
    <t>FWI</t>
  </si>
  <si>
    <t>CLIMADA WildFire + Korea Forest Service FIRMS (2001-2023)</t>
  </si>
  <si>
    <t>Outage = Freq x P(outage) x Duration / 8760</t>
  </si>
  <si>
    <t>https://firms.modaps.eosdis.nasa.gov/</t>
  </si>
  <si>
    <t>tropical_cyclone</t>
  </si>
  <si>
    <t>m/s</t>
  </si>
  <si>
    <t>DISABLED (CLIMADA simulation not performed for site)</t>
  </si>
  <si>
    <t>Not verified for Samcheok</t>
  </si>
  <si>
    <t>river_flood</t>
  </si>
  <si>
    <t>m</t>
  </si>
  <si>
    <t>DISABLED (plant at 10m elevation)</t>
  </si>
  <si>
    <t>Plant not in flood zone</t>
  </si>
  <si>
    <t>coastal_flood</t>
  </si>
  <si>
    <t>Surge + SLR cannot reach</t>
  </si>
  <si>
    <t>drought</t>
  </si>
  <si>
    <t>SPI</t>
  </si>
  <si>
    <t>OS-Climate PhysRisk API (primary source; CSV fallback disabled)</t>
  </si>
  <si>
    <t>Use PhysRisk live results only</t>
  </si>
  <si>
    <t>https://physrisk.os-climate.org/</t>
  </si>
  <si>
    <t>heat_stress</t>
  </si>
  <si>
    <t>C</t>
  </si>
  <si>
    <t>DISABLED (source not validated for Samcheok)</t>
  </si>
  <si>
    <t>KMA data referenced but not verified</t>
  </si>
  <si>
    <t>sea_level_rise</t>
  </si>
  <si>
    <t>NASA/IPCC AR6 SLR projections</t>
  </si>
  <si>
    <t>Impact via coastal flood frequency</t>
  </si>
  <si>
    <t>Climate Factors (wildfire column only)</t>
  </si>
  <si>
    <t>scenario</t>
  </si>
  <si>
    <t>year</t>
  </si>
  <si>
    <t>slr_meters</t>
  </si>
  <si>
    <t>RCP4.5</t>
  </si>
  <si>
    <t>Baseline (current climate)</t>
  </si>
  <si>
    <t>IPCC AR6 WG1 Table 4.5 + KMA projections</t>
  </si>
  <si>
    <t>RCP8.5</t>
  </si>
  <si>
    <t>IPCC AR6 WG1 Table 4.8 + KMA + WWA</t>
  </si>
  <si>
    <t>SSP1-2.6</t>
  </si>
  <si>
    <t>IPCC AR6 WG1 Chapter 4</t>
  </si>
  <si>
    <t>SSP2-4.5</t>
  </si>
  <si>
    <t>SSP5-8.5</t>
  </si>
  <si>
    <t>Outage Parameters (exponential failure model)</t>
  </si>
  <si>
    <t>asset_type</t>
  </si>
  <si>
    <t>failure_rate_per_hour</t>
  </si>
  <si>
    <t>exposure_hours_low</t>
  </si>
  <si>
    <t>exposure_hours_mid</t>
  </si>
  <si>
    <t>exposure_hours_high</t>
  </si>
  <si>
    <t>outage_duration_hours</t>
  </si>
  <si>
    <t>source_lambda</t>
  </si>
  <si>
    <t>source_duration</t>
  </si>
  <si>
    <t>source_url_lambda</t>
  </si>
  <si>
    <t>source_url_duration</t>
  </si>
  <si>
    <t>transmission_tower</t>
  </si>
  <si>
    <t>Choobineh &amp; Mohagheghi (2015) Table 2 (steel tower 0.2-0.4 range; midpoint)</t>
  </si>
  <si>
    <t>KFS Forest Fire Statistics 1991-2004 large fire avg 18.5h; point transit sensitivity</t>
  </si>
  <si>
    <t>https://doi.org/10.1016/j.firesaf.2015.02.006</t>
  </si>
  <si>
    <t>https://www.kci.go.kr/kciportal/ci/sereArticleSearch/ciSereArtiView.kci?sereArticleSearchBean.artiId=ART001017472</t>
  </si>
  <si>
    <t>wooden_pole_line</t>
  </si>
  <si>
    <t>Choobineh &amp; Mohagheghi (2015) Table 2 (wooden pole 0.5-1.0 range; midpoint)</t>
  </si>
  <si>
    <t>KFS Forest Fire Statistics 1991-2004</t>
  </si>
  <si>
    <t>power_plant</t>
  </si>
  <si>
    <t>Choobineh &amp; Mohagheghi (2015) Table 2 (transformer/heavy equipment 0.2-0.4; lower bound)</t>
  </si>
  <si>
    <t>substation</t>
  </si>
  <si>
    <t>Choobineh &amp; Mohagheghi (2015) Table 2 (transformer class)</t>
  </si>
  <si>
    <t>Transition Scenarios (dispatch_penalty=0)</t>
  </si>
  <si>
    <t>dispatch_penalty</t>
  </si>
  <si>
    <t>retirement_years</t>
  </si>
  <si>
    <t>description</t>
  </si>
  <si>
    <t>No policy intervention</t>
  </si>
  <si>
    <t>default</t>
  </si>
  <si>
    <t>Coal phase-out via 11th Basic Plan power mix targets</t>
  </si>
  <si>
    <t>11th Basic Plan (Draft 2025)</t>
  </si>
  <si>
    <t>https://www.motie.go.kr/motie/ms/nt/announce/bbs/bbsView.do?bbs_cd_n=6&amp;bbs_seq_n=68032</t>
  </si>
  <si>
    <t>Accelerated coal exit aligned with 2040 carbon neutrality pledge</t>
  </si>
  <si>
    <t>Presidential pledge 2040</t>
  </si>
  <si>
    <t>https://www.reuters.com/business/energy/south-korea-unveils-plan-go-carbon-neutral-by-2050-2020-10-28/</t>
  </si>
  <si>
    <t>Coal Phase-out Schedule (11th Basic Plan)</t>
  </si>
  <si>
    <t>capacity_gw</t>
  </si>
  <si>
    <t>capacity_factor</t>
  </si>
  <si>
    <t>policy_reference</t>
  </si>
  <si>
    <t>11th Basic Plan baseline</t>
  </si>
  <si>
    <t>11th Basic Plan phase-down start</t>
  </si>
  <si>
    <t>11th Basic Plan target</t>
  </si>
  <si>
    <t>11th Basic Plan interpolation</t>
  </si>
  <si>
    <t>Presidential pledge 2040 탈석탄</t>
  </si>
  <si>
    <t>Nuclear Expansion Plan</t>
  </si>
  <si>
    <t>phase</t>
  </si>
  <si>
    <t>cumulative_capacity_gw</t>
  </si>
  <si>
    <t>addition_gw</t>
  </si>
  <si>
    <t>unit_type</t>
  </si>
  <si>
    <t>existing</t>
  </si>
  <si>
    <t>large_unit</t>
  </si>
  <si>
    <t>11th Basic Plan - Shin Hanul 3</t>
  </si>
  <si>
    <t>11th Basic Plan - Shin Hanul 4</t>
  </si>
  <si>
    <t>smr</t>
  </si>
  <si>
    <t>11th Basic Plan - SMR deployment</t>
  </si>
  <si>
    <t>Renewable Targets</t>
  </si>
  <si>
    <t>solar_gw</t>
  </si>
  <si>
    <t>wind_gw</t>
  </si>
  <si>
    <t>hydro_gw</t>
  </si>
  <si>
    <t>grid_stability_gw</t>
  </si>
  <si>
    <t>battery_gw</t>
  </si>
  <si>
    <t>Korea Power Plan (CF trajectory)</t>
  </si>
  <si>
    <t>total_coal_twh</t>
  </si>
  <si>
    <t>total_demand_twh</t>
  </si>
  <si>
    <t>coal_share_pct</t>
  </si>
  <si>
    <t>implied_cf_samcheok</t>
  </si>
  <si>
    <t>scenario_type</t>
  </si>
  <si>
    <t>notes</t>
  </si>
  <si>
    <t>historical</t>
  </si>
  <si>
    <t>Actual 2023 KPX data</t>
  </si>
  <si>
    <t>Baseline year - current operations</t>
  </si>
  <si>
    <t>projection</t>
  </si>
  <si>
    <t>10th Power Plan</t>
  </si>
  <si>
    <t>Official government projection</t>
  </si>
  <si>
    <t>10th Power Plan interpolated</t>
  </si>
  <si>
    <t>Linear interpolation</t>
  </si>
  <si>
    <t>Official milestone</t>
  </si>
  <si>
    <t>NDC trajectory</t>
  </si>
  <si>
    <t>Approaching 2030 NDC target</t>
  </si>
  <si>
    <t>ndc_target</t>
  </si>
  <si>
    <t>NDC 2030 + 10th Plan</t>
  </si>
  <si>
    <t>Critical NDC commitment year</t>
  </si>
  <si>
    <t>Post-NDC trajectory</t>
  </si>
  <si>
    <t>Continued decline</t>
  </si>
  <si>
    <t>Mid-period adjustment</t>
  </si>
  <si>
    <t>Accelerating phase-down</t>
  </si>
  <si>
    <t>Approaching 2036 target</t>
  </si>
  <si>
    <t>plan_target</t>
  </si>
  <si>
    <t>10th Power Plan endpoint</t>
  </si>
  <si>
    <t>Official plan endpoint</t>
  </si>
  <si>
    <t>extrapolation</t>
  </si>
  <si>
    <t>Post-plan linear decline</t>
  </si>
  <si>
    <t>Conservative extrapolation</t>
  </si>
  <si>
    <t>Net-zero trajectory</t>
  </si>
  <si>
    <t>Consistent with carbon neutrality</t>
  </si>
  <si>
    <t>Accelerated phase-out</t>
  </si>
  <si>
    <t>Market forces + policy</t>
  </si>
  <si>
    <t>Pre-phase-out period</t>
  </si>
  <si>
    <t>Economic viability threshold</t>
  </si>
  <si>
    <t>Declining economics</t>
  </si>
  <si>
    <t>Below breakeven for many plants</t>
  </si>
  <si>
    <t>Stranded asset zone</t>
  </si>
  <si>
    <t>Uneconomic operation</t>
  </si>
  <si>
    <t>Final operating period</t>
  </si>
  <si>
    <t>Minimal dispatch</t>
  </si>
  <si>
    <t>Near phase-out</t>
  </si>
  <si>
    <t>Policy-driven closure imminent</t>
  </si>
  <si>
    <t>phase_out_start</t>
  </si>
  <si>
    <t>Phase-out acceleration</t>
  </si>
  <si>
    <t>Active closure program</t>
  </si>
  <si>
    <t>phase_out</t>
  </si>
  <si>
    <t>Rapid decline</t>
  </si>
  <si>
    <t>Mass closures</t>
  </si>
  <si>
    <t>Advanced phase-out</t>
  </si>
  <si>
    <t>Few plants remaining</t>
  </si>
  <si>
    <t>Final phase</t>
  </si>
  <si>
    <t>Emergency backup only</t>
  </si>
  <si>
    <t>Near-complete phase-out</t>
  </si>
  <si>
    <t>Minimal capacity retained</t>
  </si>
  <si>
    <t>carbon_neutrality</t>
  </si>
  <si>
    <t>Net-zero 2050 target</t>
  </si>
  <si>
    <t>Carbon neutrality achieved</t>
  </si>
  <si>
    <t>official_11th_plan</t>
  </si>
  <si>
    <t>11th Basic Plan (Draft)</t>
  </si>
  <si>
    <t>Baseline year</t>
  </si>
  <si>
    <t>Accelerated start</t>
  </si>
  <si>
    <t>Interpolated</t>
  </si>
  <si>
    <t>Pre-NDC acceleration</t>
  </si>
  <si>
    <t>NDC 2030 Target (Strengthened)</t>
  </si>
  <si>
    <t>Plan Endpoint</t>
  </si>
  <si>
    <t>Extrapolated</t>
  </si>
  <si>
    <t>Phase-out Complete</t>
  </si>
  <si>
    <t>K-ETS Carbon Prices [DISABLED]</t>
  </si>
  <si>
    <t>carbon_price_krw</t>
  </si>
  <si>
    <t>carbon_price_usd</t>
  </si>
  <si>
    <t>DISABLED - free allocation ratio undetermined</t>
  </si>
  <si>
    <t>DISABLED</t>
  </si>
  <si>
    <t>Plant Parameters (Samcheok 2x1050MW)</t>
  </si>
  <si>
    <t>param_name</t>
  </si>
  <si>
    <t>value</t>
  </si>
  <si>
    <t>unit</t>
  </si>
  <si>
    <t>capacity_mw</t>
  </si>
  <si>
    <t>MW</t>
  </si>
  <si>
    <t>Total capacity (2 units x 1050MW)</t>
  </si>
  <si>
    <t>decimal</t>
  </si>
  <si>
    <t>Base load capacity factor</t>
  </si>
  <si>
    <t>efficiency</t>
  </si>
  <si>
    <t>Supercritical efficiency (3.412/8.8)</t>
  </si>
  <si>
    <t>fuel_cost_per_mwh</t>
  </si>
  <si>
    <t>USD/MWh</t>
  </si>
  <si>
    <t>Approximate coal cost</t>
  </si>
  <si>
    <t>variable_opex</t>
  </si>
  <si>
    <t>Variable O&amp;M</t>
  </si>
  <si>
    <t>fixed_opex_per_kw</t>
  </si>
  <si>
    <t>USD/kW-yr</t>
  </si>
  <si>
    <t>Fixed O&amp;M</t>
  </si>
  <si>
    <t>variable_opex_per_mwh</t>
  </si>
  <si>
    <t>Variable O&amp;M per MWh (alternative)</t>
  </si>
  <si>
    <t>total_capex_million</t>
  </si>
  <si>
    <t>USD Million</t>
  </si>
  <si>
    <t>Total project cost (4.9T KRW at 1380 KRW/USD Feb 2026)</t>
  </si>
  <si>
    <t>construction_years</t>
  </si>
  <si>
    <t>years</t>
  </si>
  <si>
    <t>Construction duration</t>
  </si>
  <si>
    <t>debt_fraction</t>
  </si>
  <si>
    <t>Estimated debt financing share</t>
  </si>
  <si>
    <t>equity_fraction</t>
  </si>
  <si>
    <t>Estimated equity share</t>
  </si>
  <si>
    <t>debt_interest_rate</t>
  </si>
  <si>
    <t>Recent bond yield (6.1%)</t>
  </si>
  <si>
    <t>debt_schedule_file</t>
  </si>
  <si>
    <t>debt_repayment_schedule.csv</t>
  </si>
  <si>
    <t>filename</t>
  </si>
  <si>
    <t>Custom repayment profile</t>
  </si>
  <si>
    <t>debt_tenor_years</t>
  </si>
  <si>
    <t>Loan repayment period (fallback)</t>
  </si>
  <si>
    <t>risk_free_rate</t>
  </si>
  <si>
    <t>Korea 10Y Treasury</t>
  </si>
  <si>
    <t>market_risk_premium</t>
  </si>
  <si>
    <t>Korea Equity Risk Premium</t>
  </si>
  <si>
    <t>beta</t>
  </si>
  <si>
    <t>Utility sector beta (adjusted for coal risk)</t>
  </si>
  <si>
    <t>corporate_tax_rate</t>
  </si>
  <si>
    <t>Korea Corporate Tax Rate (25% effective Jan 2026)</t>
  </si>
  <si>
    <t>tax_rate</t>
  </si>
  <si>
    <t>Korea Corporate Tax Rate (alias)</t>
  </si>
  <si>
    <t>useful_life</t>
  </si>
  <si>
    <t>Economic life</t>
  </si>
  <si>
    <t>operating_years</t>
  </si>
  <si>
    <t>Total expected operating life</t>
  </si>
  <si>
    <t>depreciation_years</t>
  </si>
  <si>
    <t>Depreciation schedule</t>
  </si>
  <si>
    <t>inflation_rate</t>
  </si>
  <si>
    <t>Long-term inflation target</t>
  </si>
  <si>
    <t>power_price_per_mwh</t>
  </si>
  <si>
    <t>Wholesale electricity price</t>
  </si>
  <si>
    <t>heat_rate_mmbtu_mwh</t>
  </si>
  <si>
    <t>MMBtu/MWh</t>
  </si>
  <si>
    <t>Heat rate for supercritical coal plant</t>
  </si>
  <si>
    <t>fuel_price_per_mmbtu</t>
  </si>
  <si>
    <t>USD/MMBtu</t>
  </si>
  <si>
    <t>Coal fuel price</t>
  </si>
  <si>
    <t>emissions_tCO2_per_mwh</t>
  </si>
  <si>
    <t>tCO2/MWh</t>
  </si>
  <si>
    <t>Carbon emission intensity (SC coal at 8.8 heat rate)</t>
  </si>
  <si>
    <t>discount_rate</t>
  </si>
  <si>
    <t>Project discount rate for NPV</t>
  </si>
  <si>
    <t>Financing Parameters (WACC model)</t>
  </si>
  <si>
    <t>spread_slope_bps_per_pct</t>
  </si>
  <si>
    <t>bps/%</t>
  </si>
  <si>
    <t>Model assumption (reduced form credit model)</t>
  </si>
  <si>
    <t>equity_slope_pct_per_pct</t>
  </si>
  <si>
    <t>%/%</t>
  </si>
  <si>
    <t>Model assumption (equity risk premium)</t>
  </si>
  <si>
    <t>baseline_spread_bps</t>
  </si>
  <si>
    <t>bps</t>
  </si>
  <si>
    <t>Investment grade BBB baseline</t>
  </si>
  <si>
    <t>fraction</t>
  </si>
  <si>
    <t>Korea 10Y government bond yield 2024</t>
  </si>
  <si>
    <t>Typical project finance leverage</t>
  </si>
  <si>
    <t>Typical project finance equity</t>
  </si>
  <si>
    <t>baseline_equity_rate</t>
  </si>
  <si>
    <t>Korea coal project cost of equity estimate</t>
  </si>
  <si>
    <t>Market Scenarios</t>
  </si>
  <si>
    <t>smp_usd_mwh</t>
  </si>
  <si>
    <t>coal_price_usd_ton</t>
  </si>
  <si>
    <t>carbon_price_usd_ton</t>
  </si>
  <si>
    <t>cpi_index</t>
  </si>
  <si>
    <t>high_volatility</t>
  </si>
  <si>
    <t>Credit Rating Thresholds</t>
  </si>
  <si>
    <t>metric</t>
  </si>
  <si>
    <t>threshold_min</t>
  </si>
  <si>
    <t>threshold_max</t>
  </si>
  <si>
    <t>rating</t>
  </si>
  <si>
    <t>AAA</t>
  </si>
  <si>
    <t>KIS credit methodology</t>
  </si>
  <si>
    <t>AA</t>
  </si>
  <si>
    <t>A</t>
  </si>
  <si>
    <t>B</t>
  </si>
  <si>
    <t>ebitda_fixed_assets_pct</t>
  </si>
  <si>
    <t>KIS credit methodology (negative)</t>
  </si>
  <si>
    <t>CCC</t>
  </si>
  <si>
    <t>KIS credit methodology (distressed)</t>
  </si>
  <si>
    <t>CC</t>
  </si>
  <si>
    <t>KIS credit methodology (severe distress)</t>
  </si>
  <si>
    <t>coverage_ratio</t>
  </si>
  <si>
    <t>KIS credit methodology (near default)</t>
  </si>
  <si>
    <t>D</t>
  </si>
  <si>
    <t>KIS credit methodology (default)</t>
  </si>
  <si>
    <t>dscr</t>
  </si>
  <si>
    <t>Moody's Global Infrastructure Finance (2021)</t>
  </si>
  <si>
    <t>S&amp;P Project Finance Criteria (2022)</t>
  </si>
  <si>
    <t>Rating Spreads</t>
  </si>
  <si>
    <t>spread_bps</t>
  </si>
  <si>
    <t>Bloomberg US Corporate Bond Index 2020-2024 average</t>
  </si>
  <si>
    <t>Bloomberg US Corporate Bond Index 2020-2024 average (distressed)</t>
  </si>
  <si>
    <t>Distressed debt trading levels</t>
  </si>
  <si>
    <t>Distressed debt deep distress</t>
  </si>
  <si>
    <t>Default recovery value pricing</t>
  </si>
  <si>
    <t>CRP MODEL - Data Flow Diagram</t>
  </si>
  <si>
    <t>Each box: value / source / verification URL</t>
  </si>
  <si>
    <t>A. PHYSICAL RISK (Wildfire Channel)</t>
  </si>
  <si>
    <t>STEP 1: Base Fire Frequency</t>
  </si>
  <si>
    <t>Value: 0.75 events/year (Samcheok 30km radius)</t>
  </si>
  <si>
    <t>Source: CLIMADA WildFire + NASA FIRMS satellite (2001-2023)</t>
  </si>
  <si>
    <t>URL: https://firms.modaps.eosdis.nasa.gov/</t>
  </si>
  <si>
    <t>Status: VERIFIED (satellite observation data)</t>
  </si>
  <si>
    <t>x (multiply)</t>
  </si>
  <si>
    <t>STEP 2: Climate Change Multiplier</t>
  </si>
  <si>
    <t>Value: SSP1-2.6=1.14x / RCP4.5=1.20x / RCP8.5=1.58x (at 2040)</t>
  </si>
  <si>
    <t>Source: climate_factors.csv (cited as IPCC AR6 but specific table NOT verified)</t>
  </si>
  <si>
    <t>Alt source: WWA 2025 reports '2x more likely' for Korea wildfire conditions</t>
  </si>
  <si>
    <t>URL: https://www.worldweatherattribution.org/climate-change-made-weather-conditions-</t>
  </si>
  <si>
    <t xml:space="preserve">     leading-to-deadly-south-korean-wildfires-about-twice-as-likely/</t>
  </si>
  <si>
    <t>Status: NEEDS REVIEW - cited IPCC table numbers incorrect; WWA supports ~2x</t>
  </si>
  <si>
    <t>STEP 3: Conditional Outage Probability P = 1 - exp(-lambda x t)</t>
  </si>
  <si>
    <t>Value: lambda=0.20/h, t=2.0h --&gt; P(outage|event) = 0.33 (33%)</t>
  </si>
  <si>
    <t>Source (lambda): Choobineh &amp; Mohagheghi (2015) Table 2</t>
  </si>
  <si>
    <t xml:space="preserve">  DOI: https://doi.org/10.1016/j.firesaf.2015.02.006</t>
  </si>
  <si>
    <t>Source (t=2h): KFS Forest Fire Statistics (large fire avg 18.5h, transit estimate)</t>
  </si>
  <si>
    <t xml:space="preserve">  KCI: https://www.kci.go.kr/kciportal/ci/sereArticleSearch/ciSereArtiView.kci</t>
  </si>
  <si>
    <t xml:space="preserve">       ?sereArticleSearchBean.artiId=ART001017472</t>
  </si>
  <si>
    <t>Status: lambda VERIFIED (peer-reviewed DOI); t=2h is sensitivity assumption</t>
  </si>
  <si>
    <t>STEP 4: Outage Duration / Hours per Year</t>
  </si>
  <si>
    <t>Value: 48h (power plant) / 24h (transmission tower) / 8760h per year</t>
  </si>
  <si>
    <t>Source: outage_params.csv (restoration time assumption)</t>
  </si>
  <si>
    <t>Status: NOT VERIFIED - no Korean restoration time statistics found</t>
  </si>
  <si>
    <t>Action needed: check KEPCO forced outage statistics</t>
  </si>
  <si>
    <t>RESULT: outage_rate = 0.75 x 1.20 x 0.33 x (48/8760) = 0.00163</t>
  </si>
  <si>
    <t>Interpretation: 14.3 hours per year of wildfire-caused power plant outage</t>
  </si>
  <si>
    <t>Effect: Revenue x (1 - 0.00163) = 0.16% annual revenue loss from wildfire</t>
  </si>
  <si>
    <t>B. TRANSITION RISK (Policy Channel)</t>
  </si>
  <si>
    <t>Coal Phase-out: CF reduction via 11th Basic Plan power mix targets</t>
  </si>
  <si>
    <t>Value: coal share 32.5% (2024) --&gt; 0% (2040) --&gt; CF proportionally decreases</t>
  </si>
  <si>
    <t>Source: coal_phase_out_schedule.csv (11th Basic Plan Draft 2025)</t>
  </si>
  <si>
    <t>URL: https://www.motie.go.kr/ (MOTIE energy plan announcements)</t>
  </si>
  <si>
    <t>Note: dispatch_priority_penalty = 0 (removed, no independent source)</t>
  </si>
  <si>
    <t>Note: K-ETS carbon cost = 0 (disabled, free allocation ratio unknown)</t>
  </si>
  <si>
    <t>C. FINANCIAL MODEL --&gt; CRP</t>
  </si>
  <si>
    <t>Revenue = Capacity(2100MW) x CF x (1-outage) x (1-derate) x water x price</t>
  </si>
  <si>
    <t>EBITDA = Revenue - Fuel - O&amp;M - Carbon(=0)</t>
  </si>
  <si>
    <t>DSCR = EBITDA / Debt Service</t>
  </si>
  <si>
    <t>DSCR --&gt; Rating (credit_rating_thresholds.csv: AAA&gt;=2.5, AA&gt;=2.0, ...)</t>
  </si>
  <si>
    <t>Rating --&gt; Spread (rating_spreads.csv: AAA=50bps, AA=100bps, ...)</t>
  </si>
  <si>
    <t>CRP = scenario_spread - counterfactual_spread (AA = 100bps)</t>
  </si>
  <si>
    <t>Key financial sources:</t>
  </si>
  <si>
    <t xml:space="preserve">  Samcheok capex: KRW 4.879T (KIS Rating: kisrating.com)</t>
  </si>
  <si>
    <t xml:space="preserve">  Debt ratio: 80:20 (The Bell: thebell.co.kr, Samcheok PF structure)</t>
  </si>
  <si>
    <t xml:space="preserve">  KTB 10Y: ~3.4% (FRED: fred.stlouisfed.org/series/IRLTLT01KRM156N)</t>
  </si>
  <si>
    <t>D. SPATIAL DATA (Location and Resolution)</t>
  </si>
  <si>
    <t>SPATIAL CONFIGURATION</t>
  </si>
  <si>
    <t>Analysis bounds:</t>
  </si>
  <si>
    <t xml:space="preserve">  Latitude:  37.25 ~ 37.61 (40 km North-South)</t>
  </si>
  <si>
    <t xml:space="preserve">  Longitude: 127.50 ~ 129.18 (148 km East-West)</t>
  </si>
  <si>
    <t xml:space="preserve">  Resolution: 1 km grid (centr_res_factor=1.0 in unified_config.yaml)</t>
  </si>
  <si>
    <t xml:space="preserve">  Total centroids: 7,812</t>
  </si>
  <si>
    <t>Assets (from samcheok_power_grid_all.geojson):</t>
  </si>
  <si>
    <t xml:space="preserve">  1. Samcheok Power Plant: 37.41N, 129.17E (Polygon, 2100MW)</t>
  </si>
  <si>
    <t xml:space="preserve">  2. Shin-Taebaek Substation: 37.26N, 128.96E (Point, 345kV)</t>
  </si>
  <si>
    <t xml:space="preserve">  3. Samcheok-Taebaek transmission: 30.5 km (14 points, verified)</t>
  </si>
  <si>
    <t xml:space="preserve">  4. Unknown long corridor: 154.3 km, 765kV (302 points)</t>
  </si>
  <si>
    <t xml:space="preserve">     ISSUE: extends to 127.50E (far west). Name missing. Verify if real.</t>
  </si>
  <si>
    <t>Exposure sampling: 1 km interval along LineStrings -&gt; 188 points total</t>
  </si>
  <si>
    <t>Source: Physicalrisk_PLANiT/data/samcheok_power_grid_all.geojson</t>
  </si>
  <si>
    <t>ISSUES TO RESOLVE:</t>
  </si>
  <si>
    <t xml:space="preserve">  - Unknown 154km corridor: is this the 765kV Taebaek-Chungju line? Verify.</t>
  </si>
  <si>
    <t xml:space="preserve">  - Analysis bbox is very wide (148km) due to this line. Is this intended?</t>
  </si>
  <si>
    <t xml:space="preserve">  - hazard_baselines.csv said 30km radius but actual bbox is 40x148km.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</si>
</sst>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  <family val="2"/>
      <scheme val="minor"/>
    </font>
    <font>
      <b/>
      <sz val="14"/>
      <name val="맑은 고딕"/>
      <family val="2"/>
      <charset val="129"/>
    </font>
    <font>
      <sz val="9"/>
      <name val="맑은 고딕"/>
      <family val="2"/>
      <charset val="129"/>
    </font>
    <font>
      <b/>
      <sz val="11"/>
      <name val="맑은 고딕"/>
      <family val="2"/>
      <charset val="129"/>
    </font>
    <font>
      <b/>
      <sz val="11"/>
      <name val="맑은 고딕"/>
      <family val="2"/>
      <charset val="129"/>
    </font>
    <font>
      <i/>
      <sz val="9"/>
      <name val="맑은 고딕"/>
      <family val="2"/>
      <charset val="129"/>
    </font>
    <font>
      <sz val="9"/>
      <name val="Consolas"/>
      <family val="2"/>
    </font>
    <font>
      <sz val="8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BEEF4"/>
      </patternFill>
    </fill>
    <fill>
      <patternFill patternType="solid">
        <fgColor rgb="FFFDE9D9"/>
      </patternFill>
    </fill>
    <fill>
      <patternFill patternType="solid">
        <fgColor rgb="FFE2EFDA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/>
    <xf numFmtId="0" fontId="4" fillId="0" borderId="0" xfId="0" applyFont="1"/>
    <xf numFmtId="0" fontId="3" fillId="3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0" fontId="5" fillId="0" borderId="0" xfId="0" applyFont="1"/>
    <xf numFmtId="0" fontId="6" fillId="6" borderId="0" xfId="0" applyFont="1" applyFill="1"/>
    <xf numFmtId="0" fontId="0" fillId="0" borderId="0" xfId="0"/>
    <xf numFmtId="0" fontId="6" fillId="5" borderId="3" xfId="0" applyFont="1" applyFill="1" applyBorder="1" applyAlignment="1">
      <alignment wrapText="1"/>
    </xf>
    <xf numFmtId="0" fontId="0" fillId="0" borderId="5" xfId="0" applyBorder="1"/>
    <xf numFmtId="0" fontId="0" fillId="0" borderId="6" xfId="0" applyBorder="1"/>
    <xf numFmtId="0" fontId="6" fillId="0" borderId="0" xfId="0" applyFont="1"/>
    <xf numFmtId="0" fontId="6" fillId="4" borderId="3" xfId="0" applyFont="1" applyFill="1" applyBorder="1" applyAlignment="1">
      <alignment wrapText="1"/>
    </xf>
    <xf numFmtId="0" fontId="6" fillId="6" borderId="3" xfId="0" applyFont="1" applyFill="1" applyBorder="1" applyAlignment="1">
      <alignment wrapText="1"/>
    </xf>
    <xf numFmtId="0" fontId="6" fillId="5" borderId="2" xfId="0" applyFont="1" applyFill="1" applyBorder="1" applyAlignment="1">
      <alignment wrapText="1"/>
    </xf>
    <xf numFmtId="0" fontId="0" fillId="0" borderId="7" xfId="0" applyBorder="1"/>
    <xf numFmtId="0" fontId="0" fillId="0" borderId="8" xfId="0" applyBorder="1"/>
    <xf numFmtId="0" fontId="6" fillId="5" borderId="4" xfId="0" applyFont="1" applyFill="1" applyBorder="1" applyAlignment="1">
      <alignment wrapText="1"/>
    </xf>
    <xf numFmtId="0" fontId="0" fillId="0" borderId="9" xfId="0" applyBorder="1"/>
    <xf numFmtId="0" fontId="0" fillId="0" borderId="10" xfId="0" applyBorder="1"/>
    <xf numFmtId="0" fontId="6" fillId="3" borderId="3" xfId="0" applyFont="1" applyFill="1" applyBorder="1" applyAlignment="1">
      <alignment wrapText="1"/>
    </xf>
    <xf numFmtId="0" fontId="6" fillId="7" borderId="4" xfId="0" applyFont="1" applyFill="1" applyBorder="1" applyAlignment="1">
      <alignment wrapText="1"/>
    </xf>
    <xf numFmtId="0" fontId="6" fillId="3" borderId="2" xfId="0" applyFont="1" applyFill="1" applyBorder="1" applyAlignment="1">
      <alignment wrapText="1"/>
    </xf>
    <xf numFmtId="0" fontId="6" fillId="6" borderId="2" xfId="0" applyFont="1" applyFill="1" applyBorder="1" applyAlignment="1">
      <alignment wrapText="1"/>
    </xf>
    <xf numFmtId="0" fontId="6" fillId="7" borderId="3" xfId="0" applyFont="1" applyFill="1" applyBorder="1" applyAlignment="1">
      <alignment wrapText="1"/>
    </xf>
    <xf numFmtId="0" fontId="6" fillId="7" borderId="2" xfId="0" applyFont="1" applyFill="1" applyBorder="1" applyAlignment="1">
      <alignment wrapText="1"/>
    </xf>
    <xf numFmtId="0" fontId="6" fillId="4" borderId="2" xfId="0" applyFont="1" applyFill="1" applyBorder="1" applyAlignment="1">
      <alignment wrapText="1"/>
    </xf>
    <xf numFmtId="0" fontId="6" fillId="4" borderId="4" xfId="0" applyFont="1" applyFill="1" applyBorder="1" applyAlignment="1">
      <alignment wrapText="1"/>
    </xf>
    <xf numFmtId="0" fontId="6" fillId="6" borderId="4" xfId="0" applyFont="1" applyFill="1" applyBorder="1" applyAlignment="1">
      <alignment wrapText="1"/>
    </xf>
    <xf numFmtId="0" fontId="6" fillId="3" borderId="4" xfId="0" applyFont="1" applyFill="1" applyBorder="1" applyAlignment="1">
      <alignment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workbookViewId="0">
      <selection activeCell="G20" sqref="G20"/>
    </sheetView>
  </sheetViews>
  <sheetFormatPr baseColWidth="10" defaultColWidth="8.83203125" defaultRowHeight="17"/>
  <cols>
    <col min="1" max="1" width="24" customWidth="1"/>
    <col min="2" max="2" width="13" customWidth="1"/>
    <col min="3" max="3" width="8" customWidth="1"/>
    <col min="4" max="4" width="7" customWidth="1"/>
    <col min="5" max="5" width="8" customWidth="1"/>
    <col min="6" max="6" width="10" customWidth="1"/>
  </cols>
  <sheetData>
    <row r="1" spans="1:6" ht="20">
      <c r="A1" s="1" t="s">
        <v>0</v>
      </c>
    </row>
    <row r="2" spans="1:6">
      <c r="A2" s="2" t="s">
        <v>1</v>
      </c>
    </row>
    <row r="3" spans="1:6">
      <c r="A3" s="2" t="s">
        <v>2</v>
      </c>
    </row>
    <row r="5" spans="1:6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</row>
    <row r="6" spans="1:6">
      <c r="A6" s="4" t="s">
        <v>9</v>
      </c>
      <c r="B6" s="4">
        <v>-1221</v>
      </c>
      <c r="C6" s="4">
        <v>4.0999999999999996</v>
      </c>
      <c r="D6" s="4">
        <v>0.87</v>
      </c>
      <c r="E6" s="4" t="s">
        <v>10</v>
      </c>
      <c r="F6" s="4">
        <v>85.000000000000071</v>
      </c>
    </row>
    <row r="7" spans="1:6">
      <c r="A7" s="4" t="s">
        <v>11</v>
      </c>
      <c r="B7" s="4">
        <v>-1274</v>
      </c>
      <c r="C7" s="4">
        <v>3.6</v>
      </c>
      <c r="D7" s="4">
        <v>0.87</v>
      </c>
      <c r="E7" s="4" t="s">
        <v>10</v>
      </c>
      <c r="F7" s="4">
        <v>85.000000000000071</v>
      </c>
    </row>
    <row r="8" spans="1:6">
      <c r="A8" s="4" t="s">
        <v>12</v>
      </c>
      <c r="B8" s="4">
        <v>-1465</v>
      </c>
      <c r="C8" s="4">
        <v>2</v>
      </c>
      <c r="D8" s="4">
        <v>0.87</v>
      </c>
      <c r="E8" s="4" t="s">
        <v>10</v>
      </c>
      <c r="F8" s="4">
        <v>85.000000000000071</v>
      </c>
    </row>
    <row r="9" spans="1:6">
      <c r="A9" s="4" t="s">
        <v>13</v>
      </c>
      <c r="B9" s="4">
        <v>-1227</v>
      </c>
      <c r="C9" s="4">
        <v>4</v>
      </c>
      <c r="D9" s="4">
        <v>0.87</v>
      </c>
      <c r="E9" s="4" t="s">
        <v>10</v>
      </c>
      <c r="F9" s="4">
        <v>85.000000000000071</v>
      </c>
    </row>
    <row r="10" spans="1:6">
      <c r="A10" s="4" t="s">
        <v>14</v>
      </c>
      <c r="B10" s="4">
        <v>-1224</v>
      </c>
      <c r="C10" s="4">
        <v>4</v>
      </c>
      <c r="D10" s="4">
        <v>0.87</v>
      </c>
      <c r="E10" s="4" t="s">
        <v>10</v>
      </c>
      <c r="F10" s="4">
        <v>85.000000000000071</v>
      </c>
    </row>
    <row r="11" spans="1:6">
      <c r="A11" s="4" t="s">
        <v>15</v>
      </c>
      <c r="B11" s="4">
        <v>-1280</v>
      </c>
      <c r="C11" s="4">
        <v>3.6</v>
      </c>
      <c r="D11" s="4">
        <v>0.87</v>
      </c>
      <c r="E11" s="4" t="s">
        <v>10</v>
      </c>
      <c r="F11" s="4">
        <v>85.000000000000071</v>
      </c>
    </row>
    <row r="12" spans="1:6">
      <c r="A12" s="4" t="s">
        <v>16</v>
      </c>
      <c r="B12" s="4">
        <v>-1467</v>
      </c>
      <c r="C12" s="4">
        <v>1.9</v>
      </c>
      <c r="D12" s="4">
        <v>0.87</v>
      </c>
      <c r="E12" s="4" t="s">
        <v>10</v>
      </c>
      <c r="F12" s="4">
        <v>85.000000000000071</v>
      </c>
    </row>
    <row r="13" spans="1:6">
      <c r="A13" s="4" t="s">
        <v>17</v>
      </c>
      <c r="B13" s="4">
        <v>-1823</v>
      </c>
      <c r="C13" s="4">
        <v>0.9</v>
      </c>
      <c r="D13" s="4">
        <v>0.62</v>
      </c>
      <c r="E13" s="4" t="s">
        <v>18</v>
      </c>
      <c r="F13" s="4">
        <v>205.00000000000011</v>
      </c>
    </row>
    <row r="14" spans="1:6">
      <c r="A14" s="4" t="s">
        <v>19</v>
      </c>
      <c r="B14" s="4">
        <v>-1224</v>
      </c>
      <c r="C14" s="4">
        <v>4</v>
      </c>
      <c r="D14" s="4">
        <v>0.87</v>
      </c>
      <c r="E14" s="4" t="s">
        <v>10</v>
      </c>
      <c r="F14" s="4">
        <v>85.000000000000071</v>
      </c>
    </row>
    <row r="15" spans="1:6">
      <c r="A15" s="4" t="s">
        <v>20</v>
      </c>
      <c r="B15" s="4">
        <v>-2040</v>
      </c>
      <c r="C15" s="4">
        <v>2.1</v>
      </c>
      <c r="D15" s="4">
        <v>0.4</v>
      </c>
      <c r="E15" s="4" t="s">
        <v>10</v>
      </c>
      <c r="F15" s="4">
        <v>85.000000000000071</v>
      </c>
    </row>
    <row r="16" spans="1:6">
      <c r="A16" s="4" t="s">
        <v>21</v>
      </c>
      <c r="B16" s="4">
        <v>-2045</v>
      </c>
      <c r="C16" s="4">
        <v>2.1</v>
      </c>
      <c r="D16" s="4">
        <v>0.4</v>
      </c>
      <c r="E16" s="4" t="s">
        <v>10</v>
      </c>
      <c r="F16" s="4">
        <v>85.000000000000071</v>
      </c>
    </row>
  </sheetData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9"/>
  <sheetViews>
    <sheetView workbookViewId="0"/>
  </sheetViews>
  <sheetFormatPr baseColWidth="10" defaultColWidth="8.83203125" defaultRowHeight="17"/>
  <cols>
    <col min="1" max="15" width="14" customWidth="1"/>
  </cols>
  <sheetData>
    <row r="1" spans="1:15">
      <c r="A1" s="5" t="s">
        <v>22</v>
      </c>
    </row>
    <row r="2" spans="1:15">
      <c r="A2" s="6" t="s">
        <v>23</v>
      </c>
      <c r="B2" s="6" t="s">
        <v>24</v>
      </c>
      <c r="C2" s="6" t="s">
        <v>25</v>
      </c>
      <c r="D2" s="6" t="s">
        <v>26</v>
      </c>
      <c r="E2" s="6" t="s">
        <v>27</v>
      </c>
      <c r="F2" s="6" t="s">
        <v>28</v>
      </c>
      <c r="G2" s="6" t="s">
        <v>29</v>
      </c>
      <c r="H2" s="6" t="s">
        <v>30</v>
      </c>
      <c r="I2" s="6" t="s">
        <v>31</v>
      </c>
      <c r="J2" s="6" t="s">
        <v>32</v>
      </c>
      <c r="K2" s="6" t="s">
        <v>33</v>
      </c>
      <c r="L2" s="6" t="s">
        <v>34</v>
      </c>
      <c r="M2" s="6" t="s">
        <v>35</v>
      </c>
      <c r="N2" s="6" t="s">
        <v>36</v>
      </c>
      <c r="O2" s="6" t="s">
        <v>37</v>
      </c>
    </row>
    <row r="3" spans="1:15">
      <c r="A3" s="4" t="s">
        <v>38</v>
      </c>
      <c r="B3" s="4">
        <v>0.75</v>
      </c>
      <c r="C3" s="4">
        <v>25</v>
      </c>
      <c r="D3" s="4" t="s">
        <v>39</v>
      </c>
      <c r="E3" s="4">
        <v>3.4E-5</v>
      </c>
      <c r="F3" s="4">
        <v>0</v>
      </c>
      <c r="G3" s="4">
        <v>0</v>
      </c>
      <c r="H3" s="4">
        <v>1E-4</v>
      </c>
      <c r="I3" s="4">
        <v>1.7E-5</v>
      </c>
      <c r="J3" s="4">
        <v>5.1E-5</v>
      </c>
      <c r="K3" s="4" t="s">
        <v>40</v>
      </c>
      <c r="L3" s="4" t="s">
        <v>41</v>
      </c>
      <c r="M3" s="4">
        <v>30</v>
      </c>
      <c r="N3" s="4">
        <v>40</v>
      </c>
      <c r="O3" s="4" t="s">
        <v>42</v>
      </c>
    </row>
    <row r="4" spans="1:15">
      <c r="A4" s="4" t="s">
        <v>43</v>
      </c>
      <c r="B4" s="4">
        <v>0</v>
      </c>
      <c r="C4" s="4">
        <v>0</v>
      </c>
      <c r="D4" s="4" t="s">
        <v>44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 t="s">
        <v>45</v>
      </c>
      <c r="L4" s="4" t="s">
        <v>46</v>
      </c>
      <c r="M4" s="4">
        <v>0</v>
      </c>
      <c r="N4" s="4">
        <v>0</v>
      </c>
      <c r="O4" s="4"/>
    </row>
    <row r="5" spans="1:15">
      <c r="A5" s="4" t="s">
        <v>47</v>
      </c>
      <c r="B5" s="4">
        <v>0</v>
      </c>
      <c r="C5" s="4">
        <v>0</v>
      </c>
      <c r="D5" s="4" t="s">
        <v>48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 t="s">
        <v>49</v>
      </c>
      <c r="L5" s="4" t="s">
        <v>50</v>
      </c>
      <c r="M5" s="4">
        <v>0</v>
      </c>
      <c r="N5" s="4">
        <v>0</v>
      </c>
      <c r="O5" s="4"/>
    </row>
    <row r="6" spans="1:15">
      <c r="A6" s="4" t="s">
        <v>51</v>
      </c>
      <c r="B6" s="4">
        <v>0</v>
      </c>
      <c r="C6" s="4">
        <v>0</v>
      </c>
      <c r="D6" s="4" t="s">
        <v>48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 t="s">
        <v>49</v>
      </c>
      <c r="L6" s="4" t="s">
        <v>52</v>
      </c>
      <c r="M6" s="4">
        <v>0</v>
      </c>
      <c r="N6" s="4">
        <v>0</v>
      </c>
      <c r="O6" s="4"/>
    </row>
    <row r="7" spans="1:15">
      <c r="A7" s="4" t="s">
        <v>53</v>
      </c>
      <c r="B7" s="4">
        <v>0</v>
      </c>
      <c r="C7" s="4">
        <v>0</v>
      </c>
      <c r="D7" s="4" t="s">
        <v>54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 t="s">
        <v>55</v>
      </c>
      <c r="L7" s="4" t="s">
        <v>56</v>
      </c>
      <c r="M7" s="4">
        <v>0</v>
      </c>
      <c r="N7" s="4">
        <v>0</v>
      </c>
      <c r="O7" s="4" t="s">
        <v>57</v>
      </c>
    </row>
    <row r="8" spans="1:15">
      <c r="A8" s="4" t="s">
        <v>58</v>
      </c>
      <c r="B8" s="4">
        <v>0</v>
      </c>
      <c r="C8" s="4">
        <v>0</v>
      </c>
      <c r="D8" s="4" t="s">
        <v>59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 t="s">
        <v>60</v>
      </c>
      <c r="L8" s="4" t="s">
        <v>61</v>
      </c>
      <c r="M8" s="4">
        <v>0</v>
      </c>
      <c r="N8" s="4">
        <v>0</v>
      </c>
      <c r="O8" s="4"/>
    </row>
    <row r="9" spans="1:15">
      <c r="A9" s="4" t="s">
        <v>62</v>
      </c>
      <c r="B9" s="4">
        <v>0</v>
      </c>
      <c r="C9" s="4">
        <v>0</v>
      </c>
      <c r="D9" s="4" t="s">
        <v>48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 t="s">
        <v>63</v>
      </c>
      <c r="L9" s="4" t="s">
        <v>64</v>
      </c>
      <c r="M9" s="4">
        <v>0</v>
      </c>
      <c r="N9" s="4">
        <v>0</v>
      </c>
      <c r="O9" s="4"/>
    </row>
    <row r="11" spans="1:15">
      <c r="A11" s="5" t="s">
        <v>65</v>
      </c>
    </row>
    <row r="12" spans="1:15">
      <c r="A12" s="6" t="s">
        <v>66</v>
      </c>
      <c r="B12" s="6" t="s">
        <v>67</v>
      </c>
      <c r="C12" s="6" t="s">
        <v>38</v>
      </c>
      <c r="D12" s="6" t="s">
        <v>43</v>
      </c>
      <c r="E12" s="6" t="s">
        <v>47</v>
      </c>
      <c r="F12" s="6" t="s">
        <v>51</v>
      </c>
      <c r="G12" s="6" t="s">
        <v>53</v>
      </c>
      <c r="H12" s="6" t="s">
        <v>58</v>
      </c>
      <c r="I12" s="6" t="s">
        <v>68</v>
      </c>
      <c r="J12" s="6" t="s">
        <v>33</v>
      </c>
    </row>
    <row r="13" spans="1:15">
      <c r="A13" s="4" t="s">
        <v>69</v>
      </c>
      <c r="B13" s="4">
        <v>2024</v>
      </c>
      <c r="C13" s="4">
        <v>1</v>
      </c>
      <c r="D13" s="4">
        <v>1</v>
      </c>
      <c r="E13" s="4">
        <v>1</v>
      </c>
      <c r="F13" s="4">
        <v>1</v>
      </c>
      <c r="G13" s="4">
        <v>1</v>
      </c>
      <c r="H13" s="4">
        <v>1</v>
      </c>
      <c r="I13" s="4">
        <v>0</v>
      </c>
      <c r="J13" s="4" t="s">
        <v>70</v>
      </c>
    </row>
    <row r="14" spans="1:15">
      <c r="A14" s="4" t="s">
        <v>69</v>
      </c>
      <c r="B14" s="4">
        <v>2030</v>
      </c>
      <c r="C14" s="4">
        <v>1.1000000000000001</v>
      </c>
      <c r="D14" s="4">
        <v>1.02</v>
      </c>
      <c r="E14" s="4">
        <v>1.05</v>
      </c>
      <c r="F14" s="4">
        <v>1.1000000000000001</v>
      </c>
      <c r="G14" s="4">
        <v>1.08</v>
      </c>
      <c r="H14" s="4">
        <v>1.1499999999999999</v>
      </c>
      <c r="I14" s="4">
        <v>0.05</v>
      </c>
      <c r="J14" s="4" t="s">
        <v>71</v>
      </c>
    </row>
    <row r="15" spans="1:15">
      <c r="A15" s="4" t="s">
        <v>69</v>
      </c>
      <c r="B15" s="4">
        <v>2050</v>
      </c>
      <c r="C15" s="4">
        <v>1.3</v>
      </c>
      <c r="D15" s="4">
        <v>1.05</v>
      </c>
      <c r="E15" s="4">
        <v>1.1499999999999999</v>
      </c>
      <c r="F15" s="4">
        <v>1.25</v>
      </c>
      <c r="G15" s="4">
        <v>1.2</v>
      </c>
      <c r="H15" s="4">
        <v>1.5</v>
      </c>
      <c r="I15" s="4">
        <v>0.15</v>
      </c>
      <c r="J15" s="4" t="s">
        <v>71</v>
      </c>
    </row>
    <row r="16" spans="1:15">
      <c r="A16" s="4" t="s">
        <v>69</v>
      </c>
      <c r="B16" s="4">
        <v>2100</v>
      </c>
      <c r="C16" s="4">
        <v>1.5</v>
      </c>
      <c r="D16" s="4">
        <v>1.1000000000000001</v>
      </c>
      <c r="E16" s="4">
        <v>1.25</v>
      </c>
      <c r="F16" s="4">
        <v>1.5</v>
      </c>
      <c r="G16" s="4">
        <v>1.35</v>
      </c>
      <c r="H16" s="4">
        <v>2</v>
      </c>
      <c r="I16" s="4">
        <v>0.4</v>
      </c>
      <c r="J16" s="4" t="s">
        <v>71</v>
      </c>
    </row>
    <row r="17" spans="1:10">
      <c r="A17" s="4" t="s">
        <v>72</v>
      </c>
      <c r="B17" s="4">
        <v>2024</v>
      </c>
      <c r="C17" s="4">
        <v>1</v>
      </c>
      <c r="D17" s="4">
        <v>1</v>
      </c>
      <c r="E17" s="4">
        <v>1</v>
      </c>
      <c r="F17" s="4">
        <v>1</v>
      </c>
      <c r="G17" s="4">
        <v>1</v>
      </c>
      <c r="H17" s="4">
        <v>1</v>
      </c>
      <c r="I17" s="4">
        <v>0</v>
      </c>
      <c r="J17" s="4" t="s">
        <v>70</v>
      </c>
    </row>
    <row r="18" spans="1:10">
      <c r="A18" s="4" t="s">
        <v>72</v>
      </c>
      <c r="B18" s="4">
        <v>2030</v>
      </c>
      <c r="C18" s="4">
        <v>1.1499999999999999</v>
      </c>
      <c r="D18" s="4">
        <v>1.03</v>
      </c>
      <c r="E18" s="4">
        <v>1.08</v>
      </c>
      <c r="F18" s="4">
        <v>1.1499999999999999</v>
      </c>
      <c r="G18" s="4">
        <v>1.1200000000000001</v>
      </c>
      <c r="H18" s="4">
        <v>1.2</v>
      </c>
      <c r="I18" s="4">
        <v>7.0000000000000007E-2</v>
      </c>
      <c r="J18" s="4" t="s">
        <v>73</v>
      </c>
    </row>
    <row r="19" spans="1:10">
      <c r="A19" s="4" t="s">
        <v>72</v>
      </c>
      <c r="B19" s="4">
        <v>2050</v>
      </c>
      <c r="C19" s="4">
        <v>2</v>
      </c>
      <c r="D19" s="4">
        <v>1.1000000000000001</v>
      </c>
      <c r="E19" s="4">
        <v>1.3</v>
      </c>
      <c r="F19" s="4">
        <v>1.5</v>
      </c>
      <c r="G19" s="4">
        <v>1.4</v>
      </c>
      <c r="H19" s="4">
        <v>2.5</v>
      </c>
      <c r="I19" s="4">
        <v>0.25</v>
      </c>
      <c r="J19" s="4" t="s">
        <v>73</v>
      </c>
    </row>
    <row r="20" spans="1:10">
      <c r="A20" s="4" t="s">
        <v>72</v>
      </c>
      <c r="B20" s="4">
        <v>2100</v>
      </c>
      <c r="C20" s="4">
        <v>4</v>
      </c>
      <c r="D20" s="4">
        <v>1.2</v>
      </c>
      <c r="E20" s="4">
        <v>1.5</v>
      </c>
      <c r="F20" s="4">
        <v>2.5</v>
      </c>
      <c r="G20" s="4">
        <v>1.8</v>
      </c>
      <c r="H20" s="4">
        <v>5</v>
      </c>
      <c r="I20" s="4">
        <v>0.8</v>
      </c>
      <c r="J20" s="4" t="s">
        <v>73</v>
      </c>
    </row>
    <row r="21" spans="1:10">
      <c r="A21" s="4" t="s">
        <v>74</v>
      </c>
      <c r="B21" s="4">
        <v>2024</v>
      </c>
      <c r="C21" s="4">
        <v>1</v>
      </c>
      <c r="D21" s="4">
        <v>1</v>
      </c>
      <c r="E21" s="4">
        <v>1</v>
      </c>
      <c r="F21" s="4">
        <v>1</v>
      </c>
      <c r="G21" s="4">
        <v>1</v>
      </c>
      <c r="H21" s="4">
        <v>1</v>
      </c>
      <c r="I21" s="4">
        <v>0</v>
      </c>
      <c r="J21" s="4" t="s">
        <v>70</v>
      </c>
    </row>
    <row r="22" spans="1:10">
      <c r="A22" s="4" t="s">
        <v>74</v>
      </c>
      <c r="B22" s="4">
        <v>2030</v>
      </c>
      <c r="C22" s="4">
        <v>1.08</v>
      </c>
      <c r="D22" s="4">
        <v>1.01</v>
      </c>
      <c r="E22" s="4">
        <v>1.04</v>
      </c>
      <c r="F22" s="4">
        <v>1.08</v>
      </c>
      <c r="G22" s="4">
        <v>1.06</v>
      </c>
      <c r="H22" s="4">
        <v>1.1200000000000001</v>
      </c>
      <c r="I22" s="4">
        <v>0.04</v>
      </c>
      <c r="J22" s="4" t="s">
        <v>75</v>
      </c>
    </row>
    <row r="23" spans="1:10">
      <c r="A23" s="4" t="s">
        <v>74</v>
      </c>
      <c r="B23" s="4">
        <v>2050</v>
      </c>
      <c r="C23" s="4">
        <v>1.2</v>
      </c>
      <c r="D23" s="4">
        <v>1.03</v>
      </c>
      <c r="E23" s="4">
        <v>1.1000000000000001</v>
      </c>
      <c r="F23" s="4">
        <v>1.18</v>
      </c>
      <c r="G23" s="4">
        <v>1.1499999999999999</v>
      </c>
      <c r="H23" s="4">
        <v>1.35</v>
      </c>
      <c r="I23" s="4">
        <v>0.12</v>
      </c>
      <c r="J23" s="4" t="s">
        <v>75</v>
      </c>
    </row>
    <row r="24" spans="1:10">
      <c r="A24" s="4" t="s">
        <v>74</v>
      </c>
      <c r="B24" s="4">
        <v>2100</v>
      </c>
      <c r="C24" s="4">
        <v>1.3</v>
      </c>
      <c r="D24" s="4">
        <v>1.05</v>
      </c>
      <c r="E24" s="4">
        <v>1.1499999999999999</v>
      </c>
      <c r="F24" s="4">
        <v>1.3</v>
      </c>
      <c r="G24" s="4">
        <v>1.25</v>
      </c>
      <c r="H24" s="4">
        <v>1.5</v>
      </c>
      <c r="I24" s="4">
        <v>0.3</v>
      </c>
      <c r="J24" s="4" t="s">
        <v>75</v>
      </c>
    </row>
    <row r="25" spans="1:10">
      <c r="A25" s="4" t="s">
        <v>76</v>
      </c>
      <c r="B25" s="4">
        <v>2024</v>
      </c>
      <c r="C25" s="4">
        <v>1</v>
      </c>
      <c r="D25" s="4">
        <v>1</v>
      </c>
      <c r="E25" s="4">
        <v>1</v>
      </c>
      <c r="F25" s="4">
        <v>1</v>
      </c>
      <c r="G25" s="4">
        <v>1</v>
      </c>
      <c r="H25" s="4">
        <v>1</v>
      </c>
      <c r="I25" s="4">
        <v>0</v>
      </c>
      <c r="J25" s="4" t="s">
        <v>70</v>
      </c>
    </row>
    <row r="26" spans="1:10">
      <c r="A26" s="4" t="s">
        <v>76</v>
      </c>
      <c r="B26" s="4">
        <v>2030</v>
      </c>
      <c r="C26" s="4">
        <v>1.1000000000000001</v>
      </c>
      <c r="D26" s="4">
        <v>1.02</v>
      </c>
      <c r="E26" s="4">
        <v>1.05</v>
      </c>
      <c r="F26" s="4">
        <v>1.1000000000000001</v>
      </c>
      <c r="G26" s="4">
        <v>1.08</v>
      </c>
      <c r="H26" s="4">
        <v>1.1499999999999999</v>
      </c>
      <c r="I26" s="4">
        <v>0.05</v>
      </c>
      <c r="J26" s="4" t="s">
        <v>75</v>
      </c>
    </row>
    <row r="27" spans="1:10">
      <c r="A27" s="4" t="s">
        <v>76</v>
      </c>
      <c r="B27" s="4">
        <v>2050</v>
      </c>
      <c r="C27" s="4">
        <v>1.35</v>
      </c>
      <c r="D27" s="4">
        <v>1.06</v>
      </c>
      <c r="E27" s="4">
        <v>1.18</v>
      </c>
      <c r="F27" s="4">
        <v>1.3</v>
      </c>
      <c r="G27" s="4">
        <v>1.22</v>
      </c>
      <c r="H27" s="4">
        <v>1.6</v>
      </c>
      <c r="I27" s="4">
        <v>0.18</v>
      </c>
      <c r="J27" s="4" t="s">
        <v>75</v>
      </c>
    </row>
    <row r="28" spans="1:10">
      <c r="A28" s="4" t="s">
        <v>76</v>
      </c>
      <c r="B28" s="4">
        <v>2100</v>
      </c>
      <c r="C28" s="4">
        <v>1.6</v>
      </c>
      <c r="D28" s="4">
        <v>1.1200000000000001</v>
      </c>
      <c r="E28" s="4">
        <v>1.3</v>
      </c>
      <c r="F28" s="4">
        <v>1.6</v>
      </c>
      <c r="G28" s="4">
        <v>1.4</v>
      </c>
      <c r="H28" s="4">
        <v>2.2000000000000002</v>
      </c>
      <c r="I28" s="4">
        <v>0.5</v>
      </c>
      <c r="J28" s="4" t="s">
        <v>75</v>
      </c>
    </row>
    <row r="29" spans="1:10">
      <c r="A29" s="4" t="s">
        <v>77</v>
      </c>
      <c r="B29" s="4">
        <v>2024</v>
      </c>
      <c r="C29" s="4">
        <v>1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0</v>
      </c>
      <c r="J29" s="4" t="s">
        <v>70</v>
      </c>
    </row>
    <row r="30" spans="1:10">
      <c r="A30" s="4" t="s">
        <v>77</v>
      </c>
      <c r="B30" s="4">
        <v>2030</v>
      </c>
      <c r="C30" s="4">
        <v>1.1499999999999999</v>
      </c>
      <c r="D30" s="4">
        <v>1.03</v>
      </c>
      <c r="E30" s="4">
        <v>1.08</v>
      </c>
      <c r="F30" s="4">
        <v>1.1499999999999999</v>
      </c>
      <c r="G30" s="4">
        <v>1.1200000000000001</v>
      </c>
      <c r="H30" s="4">
        <v>1.2</v>
      </c>
      <c r="I30" s="4">
        <v>7.0000000000000007E-2</v>
      </c>
      <c r="J30" s="4" t="s">
        <v>75</v>
      </c>
    </row>
    <row r="31" spans="1:10">
      <c r="A31" s="4" t="s">
        <v>77</v>
      </c>
      <c r="B31" s="4">
        <v>2050</v>
      </c>
      <c r="C31" s="4">
        <v>2.1</v>
      </c>
      <c r="D31" s="4">
        <v>1.1200000000000001</v>
      </c>
      <c r="E31" s="4">
        <v>1.35</v>
      </c>
      <c r="F31" s="4">
        <v>1.55</v>
      </c>
      <c r="G31" s="4">
        <v>1.45</v>
      </c>
      <c r="H31" s="4">
        <v>2.6</v>
      </c>
      <c r="I31" s="4">
        <v>0.28000000000000003</v>
      </c>
      <c r="J31" s="4" t="s">
        <v>75</v>
      </c>
    </row>
    <row r="32" spans="1:10">
      <c r="A32" s="4" t="s">
        <v>77</v>
      </c>
      <c r="B32" s="4">
        <v>2100</v>
      </c>
      <c r="C32" s="4">
        <v>4.5</v>
      </c>
      <c r="D32" s="4">
        <v>1.25</v>
      </c>
      <c r="E32" s="4">
        <v>1.6</v>
      </c>
      <c r="F32" s="4">
        <v>2.8</v>
      </c>
      <c r="G32" s="4">
        <v>2</v>
      </c>
      <c r="H32" s="4">
        <v>5.5</v>
      </c>
      <c r="I32" s="4">
        <v>0.9</v>
      </c>
      <c r="J32" s="4" t="s">
        <v>75</v>
      </c>
    </row>
    <row r="34" spans="1:10">
      <c r="A34" s="5" t="s">
        <v>78</v>
      </c>
    </row>
    <row r="35" spans="1:10">
      <c r="A35" s="6" t="s">
        <v>79</v>
      </c>
      <c r="B35" s="6" t="s">
        <v>80</v>
      </c>
      <c r="C35" s="6" t="s">
        <v>81</v>
      </c>
      <c r="D35" s="6" t="s">
        <v>82</v>
      </c>
      <c r="E35" s="6" t="s">
        <v>83</v>
      </c>
      <c r="F35" s="6" t="s">
        <v>84</v>
      </c>
      <c r="G35" s="6" t="s">
        <v>85</v>
      </c>
      <c r="H35" s="6" t="s">
        <v>86</v>
      </c>
      <c r="I35" s="6" t="s">
        <v>87</v>
      </c>
      <c r="J35" s="6" t="s">
        <v>88</v>
      </c>
    </row>
    <row r="36" spans="1:10">
      <c r="A36" s="4" t="s">
        <v>89</v>
      </c>
      <c r="B36" s="4">
        <v>0.3</v>
      </c>
      <c r="C36" s="4">
        <v>1</v>
      </c>
      <c r="D36" s="4">
        <v>2</v>
      </c>
      <c r="E36" s="4">
        <v>4</v>
      </c>
      <c r="F36" s="4">
        <v>24</v>
      </c>
      <c r="G36" s="4" t="s">
        <v>90</v>
      </c>
      <c r="H36" s="4" t="s">
        <v>91</v>
      </c>
      <c r="I36" s="4" t="s">
        <v>92</v>
      </c>
      <c r="J36" s="4" t="s">
        <v>93</v>
      </c>
    </row>
    <row r="37" spans="1:10">
      <c r="A37" s="4" t="s">
        <v>94</v>
      </c>
      <c r="B37" s="4">
        <v>0.7</v>
      </c>
      <c r="C37" s="4">
        <v>1</v>
      </c>
      <c r="D37" s="4">
        <v>2</v>
      </c>
      <c r="E37" s="4">
        <v>4</v>
      </c>
      <c r="F37" s="4">
        <v>24</v>
      </c>
      <c r="G37" s="4" t="s">
        <v>95</v>
      </c>
      <c r="H37" s="4" t="s">
        <v>96</v>
      </c>
      <c r="I37" s="4" t="s">
        <v>92</v>
      </c>
      <c r="J37" s="4" t="s">
        <v>93</v>
      </c>
    </row>
    <row r="38" spans="1:10">
      <c r="A38" s="4" t="s">
        <v>97</v>
      </c>
      <c r="B38" s="4">
        <v>0.2</v>
      </c>
      <c r="C38" s="4">
        <v>1</v>
      </c>
      <c r="D38" s="4">
        <v>2</v>
      </c>
      <c r="E38" s="4">
        <v>4</v>
      </c>
      <c r="F38" s="4">
        <v>48</v>
      </c>
      <c r="G38" s="4" t="s">
        <v>98</v>
      </c>
      <c r="H38" s="4" t="s">
        <v>96</v>
      </c>
      <c r="I38" s="4" t="s">
        <v>92</v>
      </c>
      <c r="J38" s="4" t="s">
        <v>93</v>
      </c>
    </row>
    <row r="39" spans="1:10">
      <c r="A39" s="4" t="s">
        <v>99</v>
      </c>
      <c r="B39" s="4">
        <v>0.3</v>
      </c>
      <c r="C39" s="4">
        <v>1</v>
      </c>
      <c r="D39" s="4">
        <v>2</v>
      </c>
      <c r="E39" s="4">
        <v>4</v>
      </c>
      <c r="F39" s="4">
        <v>36</v>
      </c>
      <c r="G39" s="4" t="s">
        <v>100</v>
      </c>
      <c r="H39" s="4" t="s">
        <v>96</v>
      </c>
      <c r="I39" s="4" t="s">
        <v>92</v>
      </c>
      <c r="J39" s="4" t="s">
        <v>93</v>
      </c>
    </row>
  </sheetData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9"/>
  <sheetViews>
    <sheetView workbookViewId="0"/>
  </sheetViews>
  <sheetFormatPr baseColWidth="10" defaultColWidth="8.83203125" defaultRowHeight="17"/>
  <cols>
    <col min="1" max="11" width="16" customWidth="1"/>
  </cols>
  <sheetData>
    <row r="1" spans="1:6">
      <c r="A1" s="5" t="s">
        <v>101</v>
      </c>
    </row>
    <row r="2" spans="1:6">
      <c r="A2" s="7" t="s">
        <v>66</v>
      </c>
      <c r="B2" s="7" t="s">
        <v>102</v>
      </c>
      <c r="C2" s="7" t="s">
        <v>103</v>
      </c>
      <c r="D2" s="7" t="s">
        <v>104</v>
      </c>
      <c r="E2" s="7" t="s">
        <v>33</v>
      </c>
      <c r="F2" s="7" t="s">
        <v>37</v>
      </c>
    </row>
    <row r="3" spans="1:6">
      <c r="A3" s="4" t="s">
        <v>9</v>
      </c>
      <c r="B3" s="4">
        <v>0</v>
      </c>
      <c r="C3" s="4">
        <v>40</v>
      </c>
      <c r="D3" s="4" t="s">
        <v>105</v>
      </c>
      <c r="E3" s="4" t="s">
        <v>106</v>
      </c>
      <c r="F3" s="4"/>
    </row>
    <row r="4" spans="1:6">
      <c r="A4" s="4" t="s">
        <v>11</v>
      </c>
      <c r="B4" s="4">
        <v>0</v>
      </c>
      <c r="C4" s="4">
        <v>35</v>
      </c>
      <c r="D4" s="4" t="s">
        <v>107</v>
      </c>
      <c r="E4" s="4" t="s">
        <v>108</v>
      </c>
      <c r="F4" s="4" t="s">
        <v>109</v>
      </c>
    </row>
    <row r="5" spans="1:6">
      <c r="A5" s="4" t="s">
        <v>12</v>
      </c>
      <c r="B5" s="4">
        <v>0</v>
      </c>
      <c r="C5" s="4">
        <v>25</v>
      </c>
      <c r="D5" s="4" t="s">
        <v>110</v>
      </c>
      <c r="E5" s="4" t="s">
        <v>111</v>
      </c>
      <c r="F5" s="4" t="s">
        <v>112</v>
      </c>
    </row>
    <row r="7" spans="1:6">
      <c r="A7" s="5" t="s">
        <v>113</v>
      </c>
    </row>
    <row r="8" spans="1:6">
      <c r="A8" s="7" t="s">
        <v>67</v>
      </c>
      <c r="B8" s="7" t="s">
        <v>114</v>
      </c>
      <c r="C8" s="7" t="s">
        <v>115</v>
      </c>
      <c r="D8" s="7" t="s">
        <v>116</v>
      </c>
    </row>
    <row r="9" spans="1:6">
      <c r="A9" s="4">
        <v>2024</v>
      </c>
      <c r="B9" s="4">
        <v>26.7</v>
      </c>
      <c r="C9" s="4">
        <v>0.65</v>
      </c>
      <c r="D9" s="4" t="s">
        <v>117</v>
      </c>
    </row>
    <row r="10" spans="1:6">
      <c r="A10" s="4">
        <v>2025</v>
      </c>
      <c r="B10" s="4">
        <v>25</v>
      </c>
      <c r="C10" s="4">
        <v>0.6</v>
      </c>
      <c r="D10" s="4" t="s">
        <v>118</v>
      </c>
    </row>
    <row r="11" spans="1:6">
      <c r="A11" s="4">
        <v>2030</v>
      </c>
      <c r="B11" s="4">
        <v>18</v>
      </c>
      <c r="C11" s="4">
        <v>0.45</v>
      </c>
      <c r="D11" s="4" t="s">
        <v>119</v>
      </c>
    </row>
    <row r="12" spans="1:6">
      <c r="A12" s="4">
        <v>2035</v>
      </c>
      <c r="B12" s="4">
        <v>14</v>
      </c>
      <c r="C12" s="4">
        <v>0.3</v>
      </c>
      <c r="D12" s="4" t="s">
        <v>120</v>
      </c>
    </row>
    <row r="13" spans="1:6">
      <c r="A13" s="4">
        <v>2038</v>
      </c>
      <c r="B13" s="4">
        <v>12.5</v>
      </c>
      <c r="C13" s="4">
        <v>0.2</v>
      </c>
      <c r="D13" s="4" t="s">
        <v>119</v>
      </c>
    </row>
    <row r="14" spans="1:6">
      <c r="A14" s="4">
        <v>2040</v>
      </c>
      <c r="B14" s="4">
        <v>0</v>
      </c>
      <c r="C14" s="4">
        <v>0</v>
      </c>
      <c r="D14" s="4" t="s">
        <v>121</v>
      </c>
    </row>
    <row r="16" spans="1:6">
      <c r="A16" s="5" t="s">
        <v>122</v>
      </c>
    </row>
    <row r="17" spans="1:8">
      <c r="A17" s="7" t="s">
        <v>123</v>
      </c>
      <c r="B17" s="7" t="s">
        <v>67</v>
      </c>
      <c r="C17" s="7" t="s">
        <v>124</v>
      </c>
      <c r="D17" s="7" t="s">
        <v>125</v>
      </c>
      <c r="E17" s="7" t="s">
        <v>126</v>
      </c>
      <c r="F17" s="7" t="s">
        <v>33</v>
      </c>
    </row>
    <row r="18" spans="1:8">
      <c r="A18" s="4">
        <v>0</v>
      </c>
      <c r="B18" s="4">
        <v>2024</v>
      </c>
      <c r="C18" s="4">
        <v>24.7</v>
      </c>
      <c r="D18" s="4">
        <v>0</v>
      </c>
      <c r="E18" s="4" t="s">
        <v>127</v>
      </c>
      <c r="F18" s="4" t="s">
        <v>117</v>
      </c>
    </row>
    <row r="19" spans="1:8">
      <c r="A19" s="4">
        <v>1</v>
      </c>
      <c r="B19" s="4">
        <v>2028</v>
      </c>
      <c r="C19" s="4">
        <v>25.7</v>
      </c>
      <c r="D19" s="4">
        <v>1</v>
      </c>
      <c r="E19" s="4" t="s">
        <v>128</v>
      </c>
      <c r="F19" s="4" t="s">
        <v>129</v>
      </c>
    </row>
    <row r="20" spans="1:8">
      <c r="A20" s="4">
        <v>2</v>
      </c>
      <c r="B20" s="4">
        <v>2032</v>
      </c>
      <c r="C20" s="4">
        <v>28.1</v>
      </c>
      <c r="D20" s="4">
        <v>2.4</v>
      </c>
      <c r="E20" s="4" t="s">
        <v>128</v>
      </c>
      <c r="F20" s="4" t="s">
        <v>130</v>
      </c>
    </row>
    <row r="21" spans="1:8">
      <c r="A21" s="4">
        <v>3</v>
      </c>
      <c r="B21" s="4">
        <v>2035</v>
      </c>
      <c r="C21" s="4">
        <v>30.1</v>
      </c>
      <c r="D21" s="4">
        <v>2</v>
      </c>
      <c r="E21" s="4" t="s">
        <v>131</v>
      </c>
      <c r="F21" s="4" t="s">
        <v>132</v>
      </c>
    </row>
    <row r="23" spans="1:8">
      <c r="A23" s="5" t="s">
        <v>133</v>
      </c>
    </row>
    <row r="24" spans="1:8">
      <c r="A24" s="7" t="s">
        <v>67</v>
      </c>
      <c r="B24" s="7" t="s">
        <v>134</v>
      </c>
      <c r="C24" s="7" t="s">
        <v>135</v>
      </c>
      <c r="D24" s="7" t="s">
        <v>136</v>
      </c>
      <c r="E24" s="7" t="s">
        <v>137</v>
      </c>
      <c r="F24" s="7" t="s">
        <v>138</v>
      </c>
      <c r="G24" s="7" t="s">
        <v>33</v>
      </c>
    </row>
    <row r="25" spans="1:8">
      <c r="A25" s="4">
        <v>2024</v>
      </c>
      <c r="B25" s="4">
        <v>25</v>
      </c>
      <c r="C25" s="4">
        <v>1.7</v>
      </c>
      <c r="D25" s="4">
        <v>6.5</v>
      </c>
      <c r="E25" s="4">
        <v>0</v>
      </c>
      <c r="F25" s="4">
        <v>0</v>
      </c>
      <c r="G25" s="4" t="s">
        <v>117</v>
      </c>
    </row>
    <row r="26" spans="1:8">
      <c r="A26" s="4">
        <v>2030</v>
      </c>
      <c r="B26" s="4">
        <v>39</v>
      </c>
      <c r="C26" s="4">
        <v>10</v>
      </c>
      <c r="D26" s="4">
        <v>6.5</v>
      </c>
      <c r="E26" s="4">
        <v>15</v>
      </c>
      <c r="F26" s="4">
        <v>20</v>
      </c>
      <c r="G26" s="4" t="s">
        <v>119</v>
      </c>
    </row>
    <row r="27" spans="1:8">
      <c r="A27" s="4">
        <v>2035</v>
      </c>
      <c r="B27" s="4">
        <v>58</v>
      </c>
      <c r="C27" s="4">
        <v>25</v>
      </c>
      <c r="D27" s="4">
        <v>6.5</v>
      </c>
      <c r="E27" s="4">
        <v>18</v>
      </c>
      <c r="F27" s="4">
        <v>27</v>
      </c>
      <c r="G27" s="4" t="s">
        <v>120</v>
      </c>
    </row>
    <row r="28" spans="1:8">
      <c r="A28" s="4">
        <v>2038</v>
      </c>
      <c r="B28" s="4">
        <v>77.2</v>
      </c>
      <c r="C28" s="4">
        <v>40.700000000000003</v>
      </c>
      <c r="D28" s="4">
        <v>6.5</v>
      </c>
      <c r="E28" s="4">
        <v>21.5</v>
      </c>
      <c r="F28" s="4">
        <v>35</v>
      </c>
      <c r="G28" s="4" t="s">
        <v>119</v>
      </c>
    </row>
    <row r="30" spans="1:8">
      <c r="A30" s="5" t="s">
        <v>139</v>
      </c>
    </row>
    <row r="31" spans="1:8">
      <c r="A31" s="7" t="s">
        <v>67</v>
      </c>
      <c r="B31" s="7" t="s">
        <v>140</v>
      </c>
      <c r="C31" s="7" t="s">
        <v>141</v>
      </c>
      <c r="D31" s="7" t="s">
        <v>142</v>
      </c>
      <c r="E31" s="7" t="s">
        <v>143</v>
      </c>
      <c r="F31" s="7" t="s">
        <v>144</v>
      </c>
      <c r="G31" s="7" t="s">
        <v>116</v>
      </c>
      <c r="H31" s="7" t="s">
        <v>145</v>
      </c>
    </row>
    <row r="32" spans="1:8">
      <c r="A32" s="4">
        <v>2024</v>
      </c>
      <c r="B32" s="4">
        <v>195</v>
      </c>
      <c r="C32" s="4">
        <v>600</v>
      </c>
      <c r="D32" s="4">
        <v>32.5</v>
      </c>
      <c r="E32" s="4">
        <v>0.65</v>
      </c>
      <c r="F32" s="4" t="s">
        <v>146</v>
      </c>
      <c r="G32" s="4" t="s">
        <v>147</v>
      </c>
      <c r="H32" s="4" t="s">
        <v>148</v>
      </c>
    </row>
    <row r="33" spans="1:8">
      <c r="A33" s="4">
        <v>2025</v>
      </c>
      <c r="B33" s="4">
        <v>185</v>
      </c>
      <c r="C33" s="4">
        <v>615</v>
      </c>
      <c r="D33" s="4">
        <v>30.08</v>
      </c>
      <c r="E33" s="4">
        <v>0.6</v>
      </c>
      <c r="F33" s="4" t="s">
        <v>149</v>
      </c>
      <c r="G33" s="4" t="s">
        <v>150</v>
      </c>
      <c r="H33" s="4" t="s">
        <v>151</v>
      </c>
    </row>
    <row r="34" spans="1:8">
      <c r="A34" s="4">
        <v>2026</v>
      </c>
      <c r="B34" s="4">
        <v>177</v>
      </c>
      <c r="C34" s="4">
        <v>625</v>
      </c>
      <c r="D34" s="4">
        <v>28.32</v>
      </c>
      <c r="E34" s="4">
        <v>0.57499999999999996</v>
      </c>
      <c r="F34" s="4" t="s">
        <v>149</v>
      </c>
      <c r="G34" s="4" t="s">
        <v>152</v>
      </c>
      <c r="H34" s="4" t="s">
        <v>153</v>
      </c>
    </row>
    <row r="35" spans="1:8">
      <c r="A35" s="4">
        <v>2027</v>
      </c>
      <c r="B35" s="4">
        <v>168.5</v>
      </c>
      <c r="C35" s="4">
        <v>640</v>
      </c>
      <c r="D35" s="4">
        <v>26.33</v>
      </c>
      <c r="E35" s="4">
        <v>0.54800000000000004</v>
      </c>
      <c r="F35" s="4" t="s">
        <v>149</v>
      </c>
      <c r="G35" s="4" t="s">
        <v>152</v>
      </c>
      <c r="H35" s="4" t="s">
        <v>153</v>
      </c>
    </row>
    <row r="36" spans="1:8">
      <c r="A36" s="4">
        <v>2028</v>
      </c>
      <c r="B36" s="4">
        <v>160</v>
      </c>
      <c r="C36" s="4">
        <v>655</v>
      </c>
      <c r="D36" s="4">
        <v>24.43</v>
      </c>
      <c r="E36" s="4">
        <v>0.52</v>
      </c>
      <c r="F36" s="4" t="s">
        <v>149</v>
      </c>
      <c r="G36" s="4" t="s">
        <v>150</v>
      </c>
      <c r="H36" s="4" t="s">
        <v>154</v>
      </c>
    </row>
    <row r="37" spans="1:8">
      <c r="A37" s="4">
        <v>2029</v>
      </c>
      <c r="B37" s="4">
        <v>145</v>
      </c>
      <c r="C37" s="4">
        <v>665</v>
      </c>
      <c r="D37" s="4">
        <v>21.8</v>
      </c>
      <c r="E37" s="4">
        <v>0.48499999999999999</v>
      </c>
      <c r="F37" s="4" t="s">
        <v>149</v>
      </c>
      <c r="G37" s="4" t="s">
        <v>155</v>
      </c>
      <c r="H37" s="4" t="s">
        <v>156</v>
      </c>
    </row>
    <row r="38" spans="1:8">
      <c r="A38" s="4">
        <v>2030</v>
      </c>
      <c r="B38" s="4">
        <v>130</v>
      </c>
      <c r="C38" s="4">
        <v>675</v>
      </c>
      <c r="D38" s="4">
        <v>19.260000000000002</v>
      </c>
      <c r="E38" s="4">
        <v>0.45</v>
      </c>
      <c r="F38" s="4" t="s">
        <v>157</v>
      </c>
      <c r="G38" s="4" t="s">
        <v>158</v>
      </c>
      <c r="H38" s="4" t="s">
        <v>159</v>
      </c>
    </row>
    <row r="39" spans="1:8">
      <c r="A39" s="4">
        <v>2031</v>
      </c>
      <c r="B39" s="4">
        <v>125</v>
      </c>
      <c r="C39" s="4">
        <v>685</v>
      </c>
      <c r="D39" s="4">
        <v>18.25</v>
      </c>
      <c r="E39" s="4">
        <v>0.43</v>
      </c>
      <c r="F39" s="4" t="s">
        <v>149</v>
      </c>
      <c r="G39" s="4" t="s">
        <v>152</v>
      </c>
      <c r="H39" s="4" t="s">
        <v>160</v>
      </c>
    </row>
    <row r="40" spans="1:8">
      <c r="A40" s="4">
        <v>2032</v>
      </c>
      <c r="B40" s="4">
        <v>120</v>
      </c>
      <c r="C40" s="4">
        <v>695</v>
      </c>
      <c r="D40" s="4">
        <v>17.27</v>
      </c>
      <c r="E40" s="4">
        <v>0.41</v>
      </c>
      <c r="F40" s="4" t="s">
        <v>149</v>
      </c>
      <c r="G40" s="4" t="s">
        <v>152</v>
      </c>
      <c r="H40" s="4" t="s">
        <v>161</v>
      </c>
    </row>
    <row r="41" spans="1:8">
      <c r="A41" s="4">
        <v>2033</v>
      </c>
      <c r="B41" s="4">
        <v>115</v>
      </c>
      <c r="C41" s="4">
        <v>702.5</v>
      </c>
      <c r="D41" s="4">
        <v>16.37</v>
      </c>
      <c r="E41" s="4">
        <v>0.39500000000000002</v>
      </c>
      <c r="F41" s="4" t="s">
        <v>149</v>
      </c>
      <c r="G41" s="4" t="s">
        <v>152</v>
      </c>
      <c r="H41" s="4" t="s">
        <v>162</v>
      </c>
    </row>
    <row r="42" spans="1:8">
      <c r="A42" s="4">
        <v>2034</v>
      </c>
      <c r="B42" s="4">
        <v>110</v>
      </c>
      <c r="C42" s="4">
        <v>710</v>
      </c>
      <c r="D42" s="4">
        <v>15.49</v>
      </c>
      <c r="E42" s="4">
        <v>0.38</v>
      </c>
      <c r="F42" s="4" t="s">
        <v>149</v>
      </c>
      <c r="G42" s="4" t="s">
        <v>152</v>
      </c>
      <c r="H42" s="4" t="s">
        <v>163</v>
      </c>
    </row>
    <row r="43" spans="1:8">
      <c r="A43" s="4">
        <v>2035</v>
      </c>
      <c r="B43" s="4">
        <v>102.5</v>
      </c>
      <c r="C43" s="4">
        <v>722.5</v>
      </c>
      <c r="D43" s="4">
        <v>14.19</v>
      </c>
      <c r="E43" s="4">
        <v>0.35</v>
      </c>
      <c r="F43" s="4" t="s">
        <v>149</v>
      </c>
      <c r="G43" s="4" t="s">
        <v>152</v>
      </c>
      <c r="H43" s="4" t="s">
        <v>164</v>
      </c>
    </row>
    <row r="44" spans="1:8">
      <c r="A44" s="4">
        <v>2036</v>
      </c>
      <c r="B44" s="4">
        <v>95</v>
      </c>
      <c r="C44" s="4">
        <v>735</v>
      </c>
      <c r="D44" s="4">
        <v>12.93</v>
      </c>
      <c r="E44" s="4">
        <v>0.32</v>
      </c>
      <c r="F44" s="4" t="s">
        <v>165</v>
      </c>
      <c r="G44" s="4" t="s">
        <v>166</v>
      </c>
      <c r="H44" s="4" t="s">
        <v>167</v>
      </c>
    </row>
    <row r="45" spans="1:8">
      <c r="A45" s="4">
        <v>2037</v>
      </c>
      <c r="B45" s="4">
        <v>90</v>
      </c>
      <c r="C45" s="4">
        <v>747.5</v>
      </c>
      <c r="D45" s="4">
        <v>12.04</v>
      </c>
      <c r="E45" s="4">
        <v>0.3</v>
      </c>
      <c r="F45" s="4" t="s">
        <v>168</v>
      </c>
      <c r="G45" s="4" t="s">
        <v>169</v>
      </c>
      <c r="H45" s="4" t="s">
        <v>170</v>
      </c>
    </row>
    <row r="46" spans="1:8">
      <c r="A46" s="4">
        <v>2038</v>
      </c>
      <c r="B46" s="4">
        <v>85</v>
      </c>
      <c r="C46" s="4">
        <v>755</v>
      </c>
      <c r="D46" s="4">
        <v>11.26</v>
      </c>
      <c r="E46" s="4">
        <v>0.28000000000000003</v>
      </c>
      <c r="F46" s="4" t="s">
        <v>168</v>
      </c>
      <c r="G46" s="4" t="s">
        <v>171</v>
      </c>
      <c r="H46" s="4" t="s">
        <v>172</v>
      </c>
    </row>
    <row r="47" spans="1:8">
      <c r="A47" s="4">
        <v>2039</v>
      </c>
      <c r="B47" s="4">
        <v>77.5</v>
      </c>
      <c r="C47" s="4">
        <v>767.5</v>
      </c>
      <c r="D47" s="4">
        <v>10.1</v>
      </c>
      <c r="E47" s="4">
        <v>0.25</v>
      </c>
      <c r="F47" s="4" t="s">
        <v>168</v>
      </c>
      <c r="G47" s="4" t="s">
        <v>173</v>
      </c>
      <c r="H47" s="4" t="s">
        <v>174</v>
      </c>
    </row>
    <row r="48" spans="1:8">
      <c r="A48" s="4">
        <v>2040</v>
      </c>
      <c r="B48" s="4">
        <v>70</v>
      </c>
      <c r="C48" s="4">
        <v>780</v>
      </c>
      <c r="D48" s="4">
        <v>8.9700000000000006</v>
      </c>
      <c r="E48" s="4">
        <v>0.22</v>
      </c>
      <c r="F48" s="4" t="s">
        <v>168</v>
      </c>
      <c r="G48" s="4" t="s">
        <v>175</v>
      </c>
      <c r="H48" s="4" t="s">
        <v>176</v>
      </c>
    </row>
    <row r="49" spans="1:8">
      <c r="A49" s="4">
        <v>2041</v>
      </c>
      <c r="B49" s="4">
        <v>62.5</v>
      </c>
      <c r="C49" s="4">
        <v>790</v>
      </c>
      <c r="D49" s="4">
        <v>7.91</v>
      </c>
      <c r="E49" s="4">
        <v>0.19500000000000001</v>
      </c>
      <c r="F49" s="4" t="s">
        <v>168</v>
      </c>
      <c r="G49" s="4" t="s">
        <v>177</v>
      </c>
      <c r="H49" s="4" t="s">
        <v>178</v>
      </c>
    </row>
    <row r="50" spans="1:8">
      <c r="A50" s="4">
        <v>2042</v>
      </c>
      <c r="B50" s="4">
        <v>55</v>
      </c>
      <c r="C50" s="4">
        <v>800</v>
      </c>
      <c r="D50" s="4">
        <v>6.88</v>
      </c>
      <c r="E50" s="4">
        <v>0.17</v>
      </c>
      <c r="F50" s="4" t="s">
        <v>168</v>
      </c>
      <c r="G50" s="4" t="s">
        <v>179</v>
      </c>
      <c r="H50" s="4" t="s">
        <v>180</v>
      </c>
    </row>
    <row r="51" spans="1:8">
      <c r="A51" s="4">
        <v>2043</v>
      </c>
      <c r="B51" s="4">
        <v>50</v>
      </c>
      <c r="C51" s="4">
        <v>805</v>
      </c>
      <c r="D51" s="4">
        <v>6.21</v>
      </c>
      <c r="E51" s="4">
        <v>0.15</v>
      </c>
      <c r="F51" s="4" t="s">
        <v>168</v>
      </c>
      <c r="G51" s="4" t="s">
        <v>181</v>
      </c>
      <c r="H51" s="4" t="s">
        <v>182</v>
      </c>
    </row>
    <row r="52" spans="1:8">
      <c r="A52" s="4">
        <v>2044</v>
      </c>
      <c r="B52" s="4">
        <v>45</v>
      </c>
      <c r="C52" s="4">
        <v>812.5</v>
      </c>
      <c r="D52" s="4">
        <v>5.54</v>
      </c>
      <c r="E52" s="4">
        <v>0.13500000000000001</v>
      </c>
      <c r="F52" s="4" t="s">
        <v>168</v>
      </c>
      <c r="G52" s="4" t="s">
        <v>183</v>
      </c>
      <c r="H52" s="4" t="s">
        <v>184</v>
      </c>
    </row>
    <row r="53" spans="1:8">
      <c r="A53" s="4">
        <v>2045</v>
      </c>
      <c r="B53" s="4">
        <v>40</v>
      </c>
      <c r="C53" s="4">
        <v>820</v>
      </c>
      <c r="D53" s="4">
        <v>4.88</v>
      </c>
      <c r="E53" s="4">
        <v>0.12</v>
      </c>
      <c r="F53" s="4" t="s">
        <v>185</v>
      </c>
      <c r="G53" s="4" t="s">
        <v>186</v>
      </c>
      <c r="H53" s="4" t="s">
        <v>187</v>
      </c>
    </row>
    <row r="54" spans="1:8">
      <c r="A54" s="4">
        <v>2046</v>
      </c>
      <c r="B54" s="4">
        <v>32.5</v>
      </c>
      <c r="C54" s="4">
        <v>830</v>
      </c>
      <c r="D54" s="4">
        <v>3.92</v>
      </c>
      <c r="E54" s="4">
        <v>9.5000000000000001E-2</v>
      </c>
      <c r="F54" s="4" t="s">
        <v>188</v>
      </c>
      <c r="G54" s="4" t="s">
        <v>189</v>
      </c>
      <c r="H54" s="4" t="s">
        <v>190</v>
      </c>
    </row>
    <row r="55" spans="1:8">
      <c r="A55" s="4">
        <v>2047</v>
      </c>
      <c r="B55" s="4">
        <v>25</v>
      </c>
      <c r="C55" s="4">
        <v>840</v>
      </c>
      <c r="D55" s="4">
        <v>2.98</v>
      </c>
      <c r="E55" s="4">
        <v>7.0000000000000007E-2</v>
      </c>
      <c r="F55" s="4" t="s">
        <v>188</v>
      </c>
      <c r="G55" s="4" t="s">
        <v>191</v>
      </c>
      <c r="H55" s="4" t="s">
        <v>192</v>
      </c>
    </row>
    <row r="56" spans="1:8">
      <c r="A56" s="4">
        <v>2048</v>
      </c>
      <c r="B56" s="4">
        <v>18</v>
      </c>
      <c r="C56" s="4">
        <v>848</v>
      </c>
      <c r="D56" s="4">
        <v>2.12</v>
      </c>
      <c r="E56" s="4">
        <v>0.05</v>
      </c>
      <c r="F56" s="4" t="s">
        <v>188</v>
      </c>
      <c r="G56" s="4" t="s">
        <v>193</v>
      </c>
      <c r="H56" s="4" t="s">
        <v>194</v>
      </c>
    </row>
    <row r="57" spans="1:8">
      <c r="A57" s="4">
        <v>2049</v>
      </c>
      <c r="B57" s="4">
        <v>12</v>
      </c>
      <c r="C57" s="4">
        <v>854</v>
      </c>
      <c r="D57" s="4">
        <v>1.41</v>
      </c>
      <c r="E57" s="4">
        <v>3.2000000000000001E-2</v>
      </c>
      <c r="F57" s="4" t="s">
        <v>188</v>
      </c>
      <c r="G57" s="4" t="s">
        <v>195</v>
      </c>
      <c r="H57" s="4" t="s">
        <v>196</v>
      </c>
    </row>
    <row r="58" spans="1:8">
      <c r="A58" s="4">
        <v>2050</v>
      </c>
      <c r="B58" s="4">
        <v>8</v>
      </c>
      <c r="C58" s="4">
        <v>860</v>
      </c>
      <c r="D58" s="4">
        <v>0.93</v>
      </c>
      <c r="E58" s="4">
        <v>0.02</v>
      </c>
      <c r="F58" s="4" t="s">
        <v>197</v>
      </c>
      <c r="G58" s="4" t="s">
        <v>198</v>
      </c>
      <c r="H58" s="4" t="s">
        <v>199</v>
      </c>
    </row>
    <row r="59" spans="1:8">
      <c r="A59" s="4">
        <v>2024</v>
      </c>
      <c r="B59" s="4">
        <v>195</v>
      </c>
      <c r="C59" s="4">
        <v>600</v>
      </c>
      <c r="D59" s="4">
        <v>32.5</v>
      </c>
      <c r="E59" s="4">
        <v>0.65</v>
      </c>
      <c r="F59" s="4" t="s">
        <v>200</v>
      </c>
      <c r="G59" s="4" t="s">
        <v>201</v>
      </c>
      <c r="H59" s="4" t="s">
        <v>202</v>
      </c>
    </row>
    <row r="60" spans="1:8">
      <c r="A60" s="4">
        <v>2025</v>
      </c>
      <c r="B60" s="4">
        <v>180</v>
      </c>
      <c r="C60" s="4">
        <v>615</v>
      </c>
      <c r="D60" s="4">
        <v>29.27</v>
      </c>
      <c r="E60" s="4">
        <v>0.57999999999999996</v>
      </c>
      <c r="F60" s="4" t="s">
        <v>200</v>
      </c>
      <c r="G60" s="4" t="s">
        <v>201</v>
      </c>
      <c r="H60" s="4" t="s">
        <v>203</v>
      </c>
    </row>
    <row r="61" spans="1:8">
      <c r="A61" s="4">
        <v>2026</v>
      </c>
      <c r="B61" s="4">
        <v>170</v>
      </c>
      <c r="C61" s="4">
        <v>625</v>
      </c>
      <c r="D61" s="4">
        <v>27.2</v>
      </c>
      <c r="E61" s="4">
        <v>0.55000000000000004</v>
      </c>
      <c r="F61" s="4" t="s">
        <v>200</v>
      </c>
      <c r="G61" s="4" t="s">
        <v>201</v>
      </c>
      <c r="H61" s="4" t="s">
        <v>204</v>
      </c>
    </row>
    <row r="62" spans="1:8">
      <c r="A62" s="4">
        <v>2027</v>
      </c>
      <c r="B62" s="4">
        <v>160</v>
      </c>
      <c r="C62" s="4">
        <v>640</v>
      </c>
      <c r="D62" s="4">
        <v>25</v>
      </c>
      <c r="E62" s="4">
        <v>0.52</v>
      </c>
      <c r="F62" s="4" t="s">
        <v>200</v>
      </c>
      <c r="G62" s="4" t="s">
        <v>201</v>
      </c>
      <c r="H62" s="4" t="s">
        <v>204</v>
      </c>
    </row>
    <row r="63" spans="1:8">
      <c r="A63" s="4">
        <v>2028</v>
      </c>
      <c r="B63" s="4">
        <v>150</v>
      </c>
      <c r="C63" s="4">
        <v>655</v>
      </c>
      <c r="D63" s="4">
        <v>22.9</v>
      </c>
      <c r="E63" s="4">
        <v>0.49</v>
      </c>
      <c r="F63" s="4" t="s">
        <v>200</v>
      </c>
      <c r="G63" s="4" t="s">
        <v>201</v>
      </c>
      <c r="H63" s="4" t="s">
        <v>204</v>
      </c>
    </row>
    <row r="64" spans="1:8">
      <c r="A64" s="4">
        <v>2029</v>
      </c>
      <c r="B64" s="4">
        <v>135</v>
      </c>
      <c r="C64" s="4">
        <v>665</v>
      </c>
      <c r="D64" s="4">
        <v>20.3</v>
      </c>
      <c r="E64" s="4">
        <v>0.45</v>
      </c>
      <c r="F64" s="4" t="s">
        <v>200</v>
      </c>
      <c r="G64" s="4" t="s">
        <v>201</v>
      </c>
      <c r="H64" s="4" t="s">
        <v>205</v>
      </c>
    </row>
    <row r="65" spans="1:8">
      <c r="A65" s="4">
        <v>2030</v>
      </c>
      <c r="B65" s="4">
        <v>120</v>
      </c>
      <c r="C65" s="4">
        <v>675</v>
      </c>
      <c r="D65" s="4">
        <v>17.78</v>
      </c>
      <c r="E65" s="4">
        <v>0.4</v>
      </c>
      <c r="F65" s="4" t="s">
        <v>200</v>
      </c>
      <c r="G65" s="4" t="s">
        <v>201</v>
      </c>
      <c r="H65" s="4" t="s">
        <v>206</v>
      </c>
    </row>
    <row r="66" spans="1:8">
      <c r="A66" s="4">
        <v>2031</v>
      </c>
      <c r="B66" s="4">
        <v>110</v>
      </c>
      <c r="C66" s="4">
        <v>685</v>
      </c>
      <c r="D66" s="4">
        <v>16.059999999999999</v>
      </c>
      <c r="E66" s="4">
        <v>0.37</v>
      </c>
      <c r="F66" s="4" t="s">
        <v>200</v>
      </c>
      <c r="G66" s="4" t="s">
        <v>201</v>
      </c>
      <c r="H66" s="4" t="s">
        <v>204</v>
      </c>
    </row>
    <row r="67" spans="1:8">
      <c r="A67" s="4">
        <v>2032</v>
      </c>
      <c r="B67" s="4">
        <v>100</v>
      </c>
      <c r="C67" s="4">
        <v>695</v>
      </c>
      <c r="D67" s="4">
        <v>14.39</v>
      </c>
      <c r="E67" s="4">
        <v>0.34</v>
      </c>
      <c r="F67" s="4" t="s">
        <v>200</v>
      </c>
      <c r="G67" s="4" t="s">
        <v>201</v>
      </c>
      <c r="H67" s="4" t="s">
        <v>204</v>
      </c>
    </row>
    <row r="68" spans="1:8">
      <c r="A68" s="4">
        <v>2033</v>
      </c>
      <c r="B68" s="4">
        <v>90</v>
      </c>
      <c r="C68" s="4">
        <v>702.5</v>
      </c>
      <c r="D68" s="4">
        <v>12.81</v>
      </c>
      <c r="E68" s="4">
        <v>0.31</v>
      </c>
      <c r="F68" s="4" t="s">
        <v>200</v>
      </c>
      <c r="G68" s="4" t="s">
        <v>201</v>
      </c>
      <c r="H68" s="4" t="s">
        <v>204</v>
      </c>
    </row>
    <row r="69" spans="1:8">
      <c r="A69" s="4">
        <v>2034</v>
      </c>
      <c r="B69" s="4">
        <v>80</v>
      </c>
      <c r="C69" s="4">
        <v>710</v>
      </c>
      <c r="D69" s="4">
        <v>11.27</v>
      </c>
      <c r="E69" s="4">
        <v>0.28000000000000003</v>
      </c>
      <c r="F69" s="4" t="s">
        <v>200</v>
      </c>
      <c r="G69" s="4" t="s">
        <v>201</v>
      </c>
      <c r="H69" s="4" t="s">
        <v>204</v>
      </c>
    </row>
    <row r="70" spans="1:8">
      <c r="A70" s="4">
        <v>2035</v>
      </c>
      <c r="B70" s="4">
        <v>70</v>
      </c>
      <c r="C70" s="4">
        <v>722.5</v>
      </c>
      <c r="D70" s="4">
        <v>9.69</v>
      </c>
      <c r="E70" s="4">
        <v>0.25</v>
      </c>
      <c r="F70" s="4" t="s">
        <v>200</v>
      </c>
      <c r="G70" s="4" t="s">
        <v>201</v>
      </c>
      <c r="H70" s="4" t="s">
        <v>204</v>
      </c>
    </row>
    <row r="71" spans="1:8">
      <c r="A71" s="4">
        <v>2036</v>
      </c>
      <c r="B71" s="4">
        <v>60</v>
      </c>
      <c r="C71" s="4">
        <v>735</v>
      </c>
      <c r="D71" s="4">
        <v>8.16</v>
      </c>
      <c r="E71" s="4">
        <v>0.22</v>
      </c>
      <c r="F71" s="4" t="s">
        <v>200</v>
      </c>
      <c r="G71" s="4" t="s">
        <v>201</v>
      </c>
      <c r="H71" s="4" t="s">
        <v>207</v>
      </c>
    </row>
    <row r="72" spans="1:8">
      <c r="A72" s="4">
        <v>2037</v>
      </c>
      <c r="B72" s="4">
        <v>50</v>
      </c>
      <c r="C72" s="4">
        <v>747.5</v>
      </c>
      <c r="D72" s="4">
        <v>6.69</v>
      </c>
      <c r="E72" s="4">
        <v>0.19</v>
      </c>
      <c r="F72" s="4" t="s">
        <v>200</v>
      </c>
      <c r="G72" s="4" t="s">
        <v>201</v>
      </c>
      <c r="H72" s="4" t="s">
        <v>208</v>
      </c>
    </row>
    <row r="73" spans="1:8">
      <c r="A73" s="4">
        <v>2038</v>
      </c>
      <c r="B73" s="4">
        <v>40</v>
      </c>
      <c r="C73" s="4">
        <v>755</v>
      </c>
      <c r="D73" s="4">
        <v>5.3</v>
      </c>
      <c r="E73" s="4">
        <v>0.16</v>
      </c>
      <c r="F73" s="4" t="s">
        <v>200</v>
      </c>
      <c r="G73" s="4" t="s">
        <v>201</v>
      </c>
      <c r="H73" s="4" t="s">
        <v>208</v>
      </c>
    </row>
    <row r="74" spans="1:8">
      <c r="A74" s="4">
        <v>2039</v>
      </c>
      <c r="B74" s="4">
        <v>30</v>
      </c>
      <c r="C74" s="4">
        <v>767.5</v>
      </c>
      <c r="D74" s="4">
        <v>3.91</v>
      </c>
      <c r="E74" s="4">
        <v>0.13</v>
      </c>
      <c r="F74" s="4" t="s">
        <v>200</v>
      </c>
      <c r="G74" s="4" t="s">
        <v>201</v>
      </c>
      <c r="H74" s="4" t="s">
        <v>208</v>
      </c>
    </row>
    <row r="75" spans="1:8">
      <c r="A75" s="4">
        <v>2040</v>
      </c>
      <c r="B75" s="4">
        <v>20</v>
      </c>
      <c r="C75" s="4">
        <v>780</v>
      </c>
      <c r="D75" s="4">
        <v>2.56</v>
      </c>
      <c r="E75" s="4">
        <v>0.1</v>
      </c>
      <c r="F75" s="4" t="s">
        <v>200</v>
      </c>
      <c r="G75" s="4" t="s">
        <v>201</v>
      </c>
      <c r="H75" s="4" t="s">
        <v>208</v>
      </c>
    </row>
    <row r="76" spans="1:8">
      <c r="A76" s="4">
        <v>2041</v>
      </c>
      <c r="B76" s="4">
        <v>15</v>
      </c>
      <c r="C76" s="4">
        <v>790</v>
      </c>
      <c r="D76" s="4">
        <v>1.9</v>
      </c>
      <c r="E76" s="4">
        <v>0.08</v>
      </c>
      <c r="F76" s="4" t="s">
        <v>200</v>
      </c>
      <c r="G76" s="4" t="s">
        <v>201</v>
      </c>
      <c r="H76" s="4" t="s">
        <v>208</v>
      </c>
    </row>
    <row r="77" spans="1:8">
      <c r="A77" s="4">
        <v>2042</v>
      </c>
      <c r="B77" s="4">
        <v>10</v>
      </c>
      <c r="C77" s="4">
        <v>800</v>
      </c>
      <c r="D77" s="4">
        <v>1.25</v>
      </c>
      <c r="E77" s="4">
        <v>0.06</v>
      </c>
      <c r="F77" s="4" t="s">
        <v>200</v>
      </c>
      <c r="G77" s="4" t="s">
        <v>201</v>
      </c>
      <c r="H77" s="4" t="s">
        <v>208</v>
      </c>
    </row>
    <row r="78" spans="1:8">
      <c r="A78" s="4">
        <v>2043</v>
      </c>
      <c r="B78" s="4">
        <v>5</v>
      </c>
      <c r="C78" s="4">
        <v>805</v>
      </c>
      <c r="D78" s="4">
        <v>0.62</v>
      </c>
      <c r="E78" s="4">
        <v>0.04</v>
      </c>
      <c r="F78" s="4" t="s">
        <v>200</v>
      </c>
      <c r="G78" s="4" t="s">
        <v>201</v>
      </c>
      <c r="H78" s="4" t="s">
        <v>208</v>
      </c>
    </row>
    <row r="79" spans="1:8">
      <c r="A79" s="4">
        <v>2044</v>
      </c>
      <c r="B79" s="4">
        <v>0</v>
      </c>
      <c r="C79" s="4">
        <v>812.5</v>
      </c>
      <c r="D79" s="4">
        <v>0</v>
      </c>
      <c r="E79" s="4">
        <v>0</v>
      </c>
      <c r="F79" s="4" t="s">
        <v>200</v>
      </c>
      <c r="G79" s="4" t="s">
        <v>201</v>
      </c>
      <c r="H79" s="4" t="s">
        <v>209</v>
      </c>
    </row>
    <row r="81" spans="1:5">
      <c r="A81" s="5" t="s">
        <v>210</v>
      </c>
    </row>
    <row r="82" spans="1:5">
      <c r="A82" s="7" t="s">
        <v>67</v>
      </c>
      <c r="B82" s="7" t="s">
        <v>211</v>
      </c>
      <c r="C82" s="7" t="s">
        <v>212</v>
      </c>
      <c r="D82" s="7" t="s">
        <v>123</v>
      </c>
      <c r="E82" s="7" t="s">
        <v>33</v>
      </c>
    </row>
    <row r="83" spans="1:5">
      <c r="A83" s="4">
        <v>2024</v>
      </c>
      <c r="B83" s="4">
        <v>0</v>
      </c>
      <c r="C83" s="4">
        <v>0</v>
      </c>
      <c r="D83" s="4">
        <v>0</v>
      </c>
      <c r="E83" s="4" t="s">
        <v>213</v>
      </c>
    </row>
    <row r="84" spans="1:5">
      <c r="A84" s="4">
        <v>2025</v>
      </c>
      <c r="B84" s="4">
        <v>0</v>
      </c>
      <c r="C84" s="4">
        <v>0</v>
      </c>
      <c r="D84" s="4">
        <v>0</v>
      </c>
      <c r="E84" s="4" t="s">
        <v>214</v>
      </c>
    </row>
    <row r="85" spans="1:5">
      <c r="A85" s="4">
        <v>2026</v>
      </c>
      <c r="B85" s="4">
        <v>0</v>
      </c>
      <c r="C85" s="4">
        <v>0</v>
      </c>
      <c r="D85" s="4">
        <v>0</v>
      </c>
      <c r="E85" s="4" t="s">
        <v>214</v>
      </c>
    </row>
    <row r="86" spans="1:5">
      <c r="A86" s="4">
        <v>2027</v>
      </c>
      <c r="B86" s="4">
        <v>0</v>
      </c>
      <c r="C86" s="4">
        <v>0</v>
      </c>
      <c r="D86" s="4">
        <v>0</v>
      </c>
      <c r="E86" s="4" t="s">
        <v>214</v>
      </c>
    </row>
    <row r="87" spans="1:5">
      <c r="A87" s="4">
        <v>2028</v>
      </c>
      <c r="B87" s="4">
        <v>0</v>
      </c>
      <c r="C87" s="4">
        <v>0</v>
      </c>
      <c r="D87" s="4">
        <v>0</v>
      </c>
      <c r="E87" s="4" t="s">
        <v>214</v>
      </c>
    </row>
    <row r="88" spans="1:5">
      <c r="A88" s="4">
        <v>2029</v>
      </c>
      <c r="B88" s="4">
        <v>0</v>
      </c>
      <c r="C88" s="4">
        <v>0</v>
      </c>
      <c r="D88" s="4">
        <v>0</v>
      </c>
      <c r="E88" s="4" t="s">
        <v>214</v>
      </c>
    </row>
    <row r="89" spans="1:5">
      <c r="A89" s="4">
        <v>2030</v>
      </c>
      <c r="B89" s="4">
        <v>0</v>
      </c>
      <c r="C89" s="4">
        <v>0</v>
      </c>
      <c r="D89" s="4">
        <v>0</v>
      </c>
      <c r="E89" s="4" t="s">
        <v>214</v>
      </c>
    </row>
    <row r="90" spans="1:5">
      <c r="A90" s="4">
        <v>2031</v>
      </c>
      <c r="B90" s="4">
        <v>0</v>
      </c>
      <c r="C90" s="4">
        <v>0</v>
      </c>
      <c r="D90" s="4">
        <v>0</v>
      </c>
      <c r="E90" s="4" t="s">
        <v>214</v>
      </c>
    </row>
    <row r="91" spans="1:5">
      <c r="A91" s="4">
        <v>2032</v>
      </c>
      <c r="B91" s="4">
        <v>0</v>
      </c>
      <c r="C91" s="4">
        <v>0</v>
      </c>
      <c r="D91" s="4">
        <v>0</v>
      </c>
      <c r="E91" s="4" t="s">
        <v>214</v>
      </c>
    </row>
    <row r="92" spans="1:5">
      <c r="A92" s="4">
        <v>2033</v>
      </c>
      <c r="B92" s="4">
        <v>0</v>
      </c>
      <c r="C92" s="4">
        <v>0</v>
      </c>
      <c r="D92" s="4">
        <v>0</v>
      </c>
      <c r="E92" s="4" t="s">
        <v>214</v>
      </c>
    </row>
    <row r="93" spans="1:5">
      <c r="A93" s="4">
        <v>2034</v>
      </c>
      <c r="B93" s="4">
        <v>0</v>
      </c>
      <c r="C93" s="4">
        <v>0</v>
      </c>
      <c r="D93" s="4">
        <v>0</v>
      </c>
      <c r="E93" s="4" t="s">
        <v>214</v>
      </c>
    </row>
    <row r="94" spans="1:5">
      <c r="A94" s="4">
        <v>2035</v>
      </c>
      <c r="B94" s="4">
        <v>0</v>
      </c>
      <c r="C94" s="4">
        <v>0</v>
      </c>
      <c r="D94" s="4">
        <v>0</v>
      </c>
      <c r="E94" s="4" t="s">
        <v>214</v>
      </c>
    </row>
    <row r="95" spans="1:5">
      <c r="A95" s="4">
        <v>2036</v>
      </c>
      <c r="B95" s="4">
        <v>0</v>
      </c>
      <c r="C95" s="4">
        <v>0</v>
      </c>
      <c r="D95" s="4">
        <v>0</v>
      </c>
      <c r="E95" s="4" t="s">
        <v>214</v>
      </c>
    </row>
    <row r="96" spans="1:5">
      <c r="A96" s="4">
        <v>2037</v>
      </c>
      <c r="B96" s="4">
        <v>0</v>
      </c>
      <c r="C96" s="4">
        <v>0</v>
      </c>
      <c r="D96" s="4">
        <v>0</v>
      </c>
      <c r="E96" s="4" t="s">
        <v>214</v>
      </c>
    </row>
    <row r="97" spans="1:5">
      <c r="A97" s="4">
        <v>2038</v>
      </c>
      <c r="B97" s="4">
        <v>0</v>
      </c>
      <c r="C97" s="4">
        <v>0</v>
      </c>
      <c r="D97" s="4">
        <v>0</v>
      </c>
      <c r="E97" s="4" t="s">
        <v>214</v>
      </c>
    </row>
    <row r="98" spans="1:5">
      <c r="A98" s="4">
        <v>2039</v>
      </c>
      <c r="B98" s="4">
        <v>0</v>
      </c>
      <c r="C98" s="4">
        <v>0</v>
      </c>
      <c r="D98" s="4">
        <v>0</v>
      </c>
      <c r="E98" s="4" t="s">
        <v>214</v>
      </c>
    </row>
    <row r="99" spans="1:5">
      <c r="A99" s="4">
        <v>2040</v>
      </c>
      <c r="B99" s="4">
        <v>0</v>
      </c>
      <c r="C99" s="4">
        <v>0</v>
      </c>
      <c r="D99" s="4">
        <v>0</v>
      </c>
      <c r="E99" s="4" t="s">
        <v>214</v>
      </c>
    </row>
    <row r="100" spans="1:5">
      <c r="A100" s="4">
        <v>2041</v>
      </c>
      <c r="B100" s="4">
        <v>0</v>
      </c>
      <c r="C100" s="4">
        <v>0</v>
      </c>
      <c r="D100" s="4">
        <v>0</v>
      </c>
      <c r="E100" s="4" t="s">
        <v>214</v>
      </c>
    </row>
    <row r="101" spans="1:5">
      <c r="A101" s="4">
        <v>2042</v>
      </c>
      <c r="B101" s="4">
        <v>0</v>
      </c>
      <c r="C101" s="4">
        <v>0</v>
      </c>
      <c r="D101" s="4">
        <v>0</v>
      </c>
      <c r="E101" s="4" t="s">
        <v>214</v>
      </c>
    </row>
    <row r="102" spans="1:5">
      <c r="A102" s="4">
        <v>2043</v>
      </c>
      <c r="B102" s="4">
        <v>0</v>
      </c>
      <c r="C102" s="4">
        <v>0</v>
      </c>
      <c r="D102" s="4">
        <v>0</v>
      </c>
      <c r="E102" s="4" t="s">
        <v>214</v>
      </c>
    </row>
    <row r="103" spans="1:5">
      <c r="A103" s="4">
        <v>2044</v>
      </c>
      <c r="B103" s="4">
        <v>0</v>
      </c>
      <c r="C103" s="4">
        <v>0</v>
      </c>
      <c r="D103" s="4">
        <v>0</v>
      </c>
      <c r="E103" s="4" t="s">
        <v>214</v>
      </c>
    </row>
    <row r="104" spans="1:5">
      <c r="A104" s="4">
        <v>2045</v>
      </c>
      <c r="B104" s="4">
        <v>0</v>
      </c>
      <c r="C104" s="4">
        <v>0</v>
      </c>
      <c r="D104" s="4">
        <v>0</v>
      </c>
      <c r="E104" s="4" t="s">
        <v>214</v>
      </c>
    </row>
    <row r="105" spans="1:5">
      <c r="A105" s="4">
        <v>2046</v>
      </c>
      <c r="B105" s="4">
        <v>0</v>
      </c>
      <c r="C105" s="4">
        <v>0</v>
      </c>
      <c r="D105" s="4">
        <v>0</v>
      </c>
      <c r="E105" s="4" t="s">
        <v>214</v>
      </c>
    </row>
    <row r="106" spans="1:5">
      <c r="A106" s="4">
        <v>2047</v>
      </c>
      <c r="B106" s="4">
        <v>0</v>
      </c>
      <c r="C106" s="4">
        <v>0</v>
      </c>
      <c r="D106" s="4">
        <v>0</v>
      </c>
      <c r="E106" s="4" t="s">
        <v>214</v>
      </c>
    </row>
    <row r="107" spans="1:5">
      <c r="A107" s="4">
        <v>2048</v>
      </c>
      <c r="B107" s="4">
        <v>0</v>
      </c>
      <c r="C107" s="4">
        <v>0</v>
      </c>
      <c r="D107" s="4">
        <v>0</v>
      </c>
      <c r="E107" s="4" t="s">
        <v>214</v>
      </c>
    </row>
    <row r="108" spans="1:5">
      <c r="A108" s="4">
        <v>2049</v>
      </c>
      <c r="B108" s="4">
        <v>0</v>
      </c>
      <c r="C108" s="4">
        <v>0</v>
      </c>
      <c r="D108" s="4">
        <v>0</v>
      </c>
      <c r="E108" s="4" t="s">
        <v>214</v>
      </c>
    </row>
    <row r="109" spans="1:5">
      <c r="A109" s="4">
        <v>2050</v>
      </c>
      <c r="B109" s="4">
        <v>0</v>
      </c>
      <c r="C109" s="4">
        <v>0</v>
      </c>
      <c r="D109" s="4">
        <v>0</v>
      </c>
      <c r="E109" s="4" t="s">
        <v>214</v>
      </c>
    </row>
  </sheetData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8"/>
  <sheetViews>
    <sheetView tabSelected="1" workbookViewId="0">
      <selection activeCell="F26" sqref="F26"/>
    </sheetView>
  </sheetViews>
  <sheetFormatPr baseColWidth="10" defaultColWidth="8.83203125" defaultRowHeight="17"/>
  <cols>
    <col min="1" max="1" width="28.83203125" customWidth="1"/>
    <col min="2" max="2" width="30.5" customWidth="1"/>
    <col min="3" max="3" width="29.1640625" customWidth="1"/>
    <col min="4" max="4" width="52.83203125" customWidth="1"/>
    <col min="5" max="9" width="16" customWidth="1"/>
  </cols>
  <sheetData>
    <row r="1" spans="1:4">
      <c r="A1" s="5" t="s">
        <v>215</v>
      </c>
    </row>
    <row r="2" spans="1:4">
      <c r="A2" s="8" t="s">
        <v>216</v>
      </c>
      <c r="B2" s="8" t="s">
        <v>217</v>
      </c>
      <c r="C2" s="8" t="s">
        <v>218</v>
      </c>
      <c r="D2" s="8" t="s">
        <v>104</v>
      </c>
    </row>
    <row r="3" spans="1:4">
      <c r="A3" s="4" t="s">
        <v>219</v>
      </c>
      <c r="B3" s="4">
        <v>2100</v>
      </c>
      <c r="C3" s="4" t="s">
        <v>220</v>
      </c>
      <c r="D3" s="4" t="s">
        <v>221</v>
      </c>
    </row>
    <row r="4" spans="1:4">
      <c r="A4" s="4" t="s">
        <v>115</v>
      </c>
      <c r="B4" s="4">
        <v>0.6</v>
      </c>
      <c r="C4" s="4" t="s">
        <v>222</v>
      </c>
      <c r="D4" s="4" t="s">
        <v>223</v>
      </c>
    </row>
    <row r="5" spans="1:4">
      <c r="A5" s="4" t="s">
        <v>224</v>
      </c>
      <c r="B5" s="4">
        <v>0.39</v>
      </c>
      <c r="C5" s="4" t="s">
        <v>222</v>
      </c>
      <c r="D5" s="4" t="s">
        <v>225</v>
      </c>
    </row>
    <row r="6" spans="1:4">
      <c r="A6" s="4" t="s">
        <v>226</v>
      </c>
      <c r="B6" s="4">
        <v>45</v>
      </c>
      <c r="C6" s="4" t="s">
        <v>227</v>
      </c>
      <c r="D6" s="4" t="s">
        <v>228</v>
      </c>
    </row>
    <row r="7" spans="1:4">
      <c r="A7" s="4" t="s">
        <v>229</v>
      </c>
      <c r="B7" s="4">
        <v>5</v>
      </c>
      <c r="C7" s="4" t="s">
        <v>227</v>
      </c>
      <c r="D7" s="4" t="s">
        <v>230</v>
      </c>
    </row>
    <row r="8" spans="1:4">
      <c r="A8" s="4" t="s">
        <v>231</v>
      </c>
      <c r="B8" s="4">
        <v>35</v>
      </c>
      <c r="C8" s="4" t="s">
        <v>232</v>
      </c>
      <c r="D8" s="4" t="s">
        <v>233</v>
      </c>
    </row>
    <row r="9" spans="1:4">
      <c r="A9" s="4" t="s">
        <v>234</v>
      </c>
      <c r="B9" s="4">
        <v>4.5</v>
      </c>
      <c r="C9" s="4" t="s">
        <v>227</v>
      </c>
      <c r="D9" s="4" t="s">
        <v>235</v>
      </c>
    </row>
    <row r="10" spans="1:4">
      <c r="A10" s="4" t="s">
        <v>236</v>
      </c>
      <c r="B10" s="4">
        <v>3550</v>
      </c>
      <c r="C10" s="4" t="s">
        <v>237</v>
      </c>
      <c r="D10" s="4" t="s">
        <v>238</v>
      </c>
    </row>
    <row r="11" spans="1:4">
      <c r="A11" s="4" t="s">
        <v>239</v>
      </c>
      <c r="B11" s="4">
        <v>5</v>
      </c>
      <c r="C11" s="4" t="s">
        <v>240</v>
      </c>
      <c r="D11" s="4" t="s">
        <v>241</v>
      </c>
    </row>
    <row r="12" spans="1:4">
      <c r="A12" s="4" t="s">
        <v>242</v>
      </c>
      <c r="B12" s="4">
        <v>0.8</v>
      </c>
      <c r="C12" s="4" t="s">
        <v>222</v>
      </c>
      <c r="D12" s="4" t="s">
        <v>243</v>
      </c>
    </row>
    <row r="13" spans="1:4">
      <c r="A13" s="4" t="s">
        <v>244</v>
      </c>
      <c r="B13" s="4">
        <v>0.2</v>
      </c>
      <c r="C13" s="4" t="s">
        <v>222</v>
      </c>
      <c r="D13" s="4" t="s">
        <v>245</v>
      </c>
    </row>
    <row r="14" spans="1:4">
      <c r="A14" s="4" t="s">
        <v>246</v>
      </c>
      <c r="B14" s="4">
        <v>0.05</v>
      </c>
      <c r="C14" s="4" t="s">
        <v>222</v>
      </c>
      <c r="D14" s="4" t="s">
        <v>247</v>
      </c>
    </row>
    <row r="15" spans="1:4">
      <c r="A15" s="4" t="s">
        <v>248</v>
      </c>
      <c r="B15" s="4" t="s">
        <v>249</v>
      </c>
      <c r="C15" s="4" t="s">
        <v>250</v>
      </c>
      <c r="D15" s="4" t="s">
        <v>251</v>
      </c>
    </row>
    <row r="16" spans="1:4">
      <c r="A16" s="4" t="s">
        <v>252</v>
      </c>
      <c r="B16" s="4">
        <v>20</v>
      </c>
      <c r="C16" s="4" t="s">
        <v>240</v>
      </c>
      <c r="D16" s="4" t="s">
        <v>253</v>
      </c>
    </row>
    <row r="17" spans="1:4">
      <c r="A17" s="4" t="s">
        <v>254</v>
      </c>
      <c r="B17" s="4">
        <v>3.5000000000000003E-2</v>
      </c>
      <c r="C17" s="4" t="s">
        <v>222</v>
      </c>
      <c r="D17" s="4" t="s">
        <v>255</v>
      </c>
    </row>
    <row r="18" spans="1:4">
      <c r="A18" s="4" t="s">
        <v>256</v>
      </c>
      <c r="B18" s="4">
        <v>0.06</v>
      </c>
      <c r="C18" s="4" t="s">
        <v>222</v>
      </c>
      <c r="D18" s="4" t="s">
        <v>257</v>
      </c>
    </row>
    <row r="19" spans="1:4">
      <c r="A19" s="4" t="s">
        <v>258</v>
      </c>
      <c r="B19" s="4">
        <v>1.2</v>
      </c>
      <c r="C19" s="4" t="s">
        <v>222</v>
      </c>
      <c r="D19" s="4" t="s">
        <v>259</v>
      </c>
    </row>
    <row r="20" spans="1:4">
      <c r="A20" s="4" t="s">
        <v>260</v>
      </c>
      <c r="B20" s="4">
        <v>0.25</v>
      </c>
      <c r="C20" s="4" t="s">
        <v>222</v>
      </c>
      <c r="D20" s="4" t="s">
        <v>261</v>
      </c>
    </row>
    <row r="21" spans="1:4">
      <c r="A21" s="4" t="s">
        <v>262</v>
      </c>
      <c r="B21" s="4">
        <v>0.25</v>
      </c>
      <c r="C21" s="4" t="s">
        <v>222</v>
      </c>
      <c r="D21" s="4" t="s">
        <v>263</v>
      </c>
    </row>
    <row r="22" spans="1:4">
      <c r="A22" s="4" t="s">
        <v>264</v>
      </c>
      <c r="B22" s="4">
        <v>30</v>
      </c>
      <c r="C22" s="4" t="s">
        <v>240</v>
      </c>
      <c r="D22" s="4" t="s">
        <v>265</v>
      </c>
    </row>
    <row r="23" spans="1:4">
      <c r="A23" s="4" t="s">
        <v>266</v>
      </c>
      <c r="B23" s="4">
        <v>40</v>
      </c>
      <c r="C23" s="4" t="s">
        <v>240</v>
      </c>
      <c r="D23" s="4" t="s">
        <v>267</v>
      </c>
    </row>
    <row r="24" spans="1:4">
      <c r="A24" s="4" t="s">
        <v>268</v>
      </c>
      <c r="B24" s="4">
        <v>20</v>
      </c>
      <c r="C24" s="4" t="s">
        <v>240</v>
      </c>
      <c r="D24" s="4" t="s">
        <v>269</v>
      </c>
    </row>
    <row r="25" spans="1:4">
      <c r="A25" s="4" t="s">
        <v>270</v>
      </c>
      <c r="B25" s="4">
        <v>0.02</v>
      </c>
      <c r="C25" s="4" t="s">
        <v>222</v>
      </c>
      <c r="D25" s="4" t="s">
        <v>271</v>
      </c>
    </row>
    <row r="26" spans="1:4">
      <c r="A26" s="4" t="s">
        <v>272</v>
      </c>
      <c r="B26" s="4">
        <v>80</v>
      </c>
      <c r="C26" s="4" t="s">
        <v>227</v>
      </c>
      <c r="D26" s="4" t="s">
        <v>273</v>
      </c>
    </row>
    <row r="27" spans="1:4">
      <c r="A27" s="4" t="s">
        <v>274</v>
      </c>
      <c r="B27" s="4">
        <v>8.8000000000000007</v>
      </c>
      <c r="C27" s="4" t="s">
        <v>275</v>
      </c>
      <c r="D27" s="4" t="s">
        <v>276</v>
      </c>
    </row>
    <row r="28" spans="1:4">
      <c r="A28" s="4" t="s">
        <v>277</v>
      </c>
      <c r="B28" s="4">
        <v>5.74</v>
      </c>
      <c r="C28" s="4" t="s">
        <v>278</v>
      </c>
      <c r="D28" s="4" t="s">
        <v>279</v>
      </c>
    </row>
    <row r="29" spans="1:4">
      <c r="A29" s="4" t="s">
        <v>280</v>
      </c>
      <c r="B29" s="4">
        <v>0.82</v>
      </c>
      <c r="C29" s="4" t="s">
        <v>281</v>
      </c>
      <c r="D29" s="4" t="s">
        <v>282</v>
      </c>
    </row>
    <row r="30" spans="1:4">
      <c r="A30" s="4" t="s">
        <v>283</v>
      </c>
      <c r="B30" s="4">
        <v>0.08</v>
      </c>
      <c r="C30" s="4" t="s">
        <v>222</v>
      </c>
      <c r="D30" s="4" t="s">
        <v>284</v>
      </c>
    </row>
    <row r="32" spans="1:4">
      <c r="A32" s="5" t="s">
        <v>285</v>
      </c>
    </row>
    <row r="33" spans="1:6">
      <c r="A33" s="8" t="s">
        <v>216</v>
      </c>
      <c r="B33" s="8" t="s">
        <v>217</v>
      </c>
      <c r="C33" s="8" t="s">
        <v>218</v>
      </c>
      <c r="D33" s="8" t="s">
        <v>33</v>
      </c>
    </row>
    <row r="34" spans="1:6">
      <c r="A34" s="4" t="s">
        <v>286</v>
      </c>
      <c r="B34" s="4">
        <v>50</v>
      </c>
      <c r="C34" s="4" t="s">
        <v>287</v>
      </c>
      <c r="D34" s="4" t="s">
        <v>288</v>
      </c>
    </row>
    <row r="35" spans="1:6">
      <c r="A35" s="4" t="s">
        <v>289</v>
      </c>
      <c r="B35" s="4">
        <v>0.8</v>
      </c>
      <c r="C35" s="4" t="s">
        <v>290</v>
      </c>
      <c r="D35" s="4" t="s">
        <v>291</v>
      </c>
    </row>
    <row r="36" spans="1:6">
      <c r="A36" s="4" t="s">
        <v>292</v>
      </c>
      <c r="B36" s="4">
        <v>150</v>
      </c>
      <c r="C36" s="4" t="s">
        <v>293</v>
      </c>
      <c r="D36" s="4" t="s">
        <v>294</v>
      </c>
    </row>
    <row r="37" spans="1:6">
      <c r="A37" s="4" t="s">
        <v>254</v>
      </c>
      <c r="B37" s="4">
        <v>0.03</v>
      </c>
      <c r="C37" s="4" t="s">
        <v>295</v>
      </c>
      <c r="D37" s="4" t="s">
        <v>296</v>
      </c>
    </row>
    <row r="38" spans="1:6">
      <c r="A38" s="4" t="s">
        <v>242</v>
      </c>
      <c r="B38" s="4">
        <v>0.7</v>
      </c>
      <c r="C38" s="4" t="s">
        <v>295</v>
      </c>
      <c r="D38" s="4" t="s">
        <v>297</v>
      </c>
    </row>
    <row r="39" spans="1:6">
      <c r="A39" s="4" t="s">
        <v>244</v>
      </c>
      <c r="B39" s="4">
        <v>0.3</v>
      </c>
      <c r="C39" s="4" t="s">
        <v>295</v>
      </c>
      <c r="D39" s="4" t="s">
        <v>298</v>
      </c>
    </row>
    <row r="40" spans="1:6">
      <c r="A40" s="4" t="s">
        <v>299</v>
      </c>
      <c r="B40" s="4">
        <v>0.12</v>
      </c>
      <c r="C40" s="4" t="s">
        <v>295</v>
      </c>
      <c r="D40" s="4" t="s">
        <v>300</v>
      </c>
    </row>
    <row r="42" spans="1:6">
      <c r="A42" s="5" t="s">
        <v>301</v>
      </c>
    </row>
    <row r="43" spans="1:6">
      <c r="A43" s="8" t="s">
        <v>67</v>
      </c>
      <c r="B43" s="8" t="s">
        <v>66</v>
      </c>
      <c r="C43" s="8" t="s">
        <v>302</v>
      </c>
      <c r="D43" s="8" t="s">
        <v>303</v>
      </c>
      <c r="E43" s="8" t="s">
        <v>304</v>
      </c>
      <c r="F43" s="8" t="s">
        <v>305</v>
      </c>
    </row>
    <row r="44" spans="1:6">
      <c r="A44" s="4">
        <v>2024</v>
      </c>
      <c r="B44" s="4" t="s">
        <v>9</v>
      </c>
      <c r="C44" s="4">
        <v>85</v>
      </c>
      <c r="D44" s="4">
        <v>120</v>
      </c>
      <c r="E44" s="4">
        <v>15</v>
      </c>
      <c r="F44" s="4">
        <v>1</v>
      </c>
    </row>
    <row r="45" spans="1:6">
      <c r="A45" s="4">
        <v>2025</v>
      </c>
      <c r="B45" s="4" t="s">
        <v>9</v>
      </c>
      <c r="C45" s="4">
        <v>84</v>
      </c>
      <c r="D45" s="4">
        <v>115</v>
      </c>
      <c r="E45" s="4">
        <v>18</v>
      </c>
      <c r="F45" s="4">
        <v>1.02</v>
      </c>
    </row>
    <row r="46" spans="1:6">
      <c r="A46" s="4">
        <v>2026</v>
      </c>
      <c r="B46" s="4" t="s">
        <v>9</v>
      </c>
      <c r="C46" s="4">
        <v>83</v>
      </c>
      <c r="D46" s="4">
        <v>110</v>
      </c>
      <c r="E46" s="4">
        <v>22</v>
      </c>
      <c r="F46" s="4">
        <v>1.04</v>
      </c>
    </row>
    <row r="47" spans="1:6">
      <c r="A47" s="4">
        <v>2027</v>
      </c>
      <c r="B47" s="4" t="s">
        <v>9</v>
      </c>
      <c r="C47" s="4">
        <v>82</v>
      </c>
      <c r="D47" s="4">
        <v>105</v>
      </c>
      <c r="E47" s="4">
        <v>25</v>
      </c>
      <c r="F47" s="4">
        <v>1.06</v>
      </c>
    </row>
    <row r="48" spans="1:6">
      <c r="A48" s="4">
        <v>2028</v>
      </c>
      <c r="B48" s="4" t="s">
        <v>9</v>
      </c>
      <c r="C48" s="4">
        <v>81</v>
      </c>
      <c r="D48" s="4">
        <v>100</v>
      </c>
      <c r="E48" s="4">
        <v>30</v>
      </c>
      <c r="F48" s="4">
        <v>1.08</v>
      </c>
    </row>
    <row r="49" spans="1:6">
      <c r="A49" s="4">
        <v>2029</v>
      </c>
      <c r="B49" s="4" t="s">
        <v>9</v>
      </c>
      <c r="C49" s="4">
        <v>80</v>
      </c>
      <c r="D49" s="4">
        <v>95</v>
      </c>
      <c r="E49" s="4">
        <v>35</v>
      </c>
      <c r="F49" s="4">
        <v>1.1000000000000001</v>
      </c>
    </row>
    <row r="50" spans="1:6">
      <c r="A50" s="4">
        <v>2030</v>
      </c>
      <c r="B50" s="4" t="s">
        <v>9</v>
      </c>
      <c r="C50" s="4">
        <v>78</v>
      </c>
      <c r="D50" s="4">
        <v>90</v>
      </c>
      <c r="E50" s="4">
        <v>45</v>
      </c>
      <c r="F50" s="4">
        <v>1.1299999999999999</v>
      </c>
    </row>
    <row r="51" spans="1:6">
      <c r="A51" s="4">
        <v>2031</v>
      </c>
      <c r="B51" s="4" t="s">
        <v>9</v>
      </c>
      <c r="C51" s="4">
        <v>77</v>
      </c>
      <c r="D51" s="4">
        <v>88</v>
      </c>
      <c r="E51" s="4">
        <v>50</v>
      </c>
      <c r="F51" s="4">
        <v>1.1499999999999999</v>
      </c>
    </row>
    <row r="52" spans="1:6">
      <c r="A52" s="4">
        <v>2032</v>
      </c>
      <c r="B52" s="4" t="s">
        <v>9</v>
      </c>
      <c r="C52" s="4">
        <v>76</v>
      </c>
      <c r="D52" s="4">
        <v>86</v>
      </c>
      <c r="E52" s="4">
        <v>55</v>
      </c>
      <c r="F52" s="4">
        <v>1.17</v>
      </c>
    </row>
    <row r="53" spans="1:6">
      <c r="A53" s="4">
        <v>2033</v>
      </c>
      <c r="B53" s="4" t="s">
        <v>9</v>
      </c>
      <c r="C53" s="4">
        <v>75</v>
      </c>
      <c r="D53" s="4">
        <v>84</v>
      </c>
      <c r="E53" s="4">
        <v>60</v>
      </c>
      <c r="F53" s="4">
        <v>1.2</v>
      </c>
    </row>
    <row r="54" spans="1:6">
      <c r="A54" s="4">
        <v>2034</v>
      </c>
      <c r="B54" s="4" t="s">
        <v>9</v>
      </c>
      <c r="C54" s="4">
        <v>74</v>
      </c>
      <c r="D54" s="4">
        <v>82</v>
      </c>
      <c r="E54" s="4">
        <v>65</v>
      </c>
      <c r="F54" s="4">
        <v>1.22</v>
      </c>
    </row>
    <row r="55" spans="1:6">
      <c r="A55" s="4">
        <v>2035</v>
      </c>
      <c r="B55" s="4" t="s">
        <v>9</v>
      </c>
      <c r="C55" s="4">
        <v>73</v>
      </c>
      <c r="D55" s="4">
        <v>80</v>
      </c>
      <c r="E55" s="4">
        <v>70</v>
      </c>
      <c r="F55" s="4">
        <v>1.25</v>
      </c>
    </row>
    <row r="56" spans="1:6">
      <c r="A56" s="4">
        <v>2036</v>
      </c>
      <c r="B56" s="4" t="s">
        <v>9</v>
      </c>
      <c r="C56" s="4">
        <v>72</v>
      </c>
      <c r="D56" s="4">
        <v>78</v>
      </c>
      <c r="E56" s="4">
        <v>75</v>
      </c>
      <c r="F56" s="4">
        <v>1.27</v>
      </c>
    </row>
    <row r="57" spans="1:6">
      <c r="A57" s="4">
        <v>2037</v>
      </c>
      <c r="B57" s="4" t="s">
        <v>9</v>
      </c>
      <c r="C57" s="4">
        <v>71</v>
      </c>
      <c r="D57" s="4">
        <v>76</v>
      </c>
      <c r="E57" s="4">
        <v>80</v>
      </c>
      <c r="F57" s="4">
        <v>1.3</v>
      </c>
    </row>
    <row r="58" spans="1:6">
      <c r="A58" s="4">
        <v>2038</v>
      </c>
      <c r="B58" s="4" t="s">
        <v>9</v>
      </c>
      <c r="C58" s="4">
        <v>70</v>
      </c>
      <c r="D58" s="4">
        <v>74</v>
      </c>
      <c r="E58" s="4">
        <v>85</v>
      </c>
      <c r="F58" s="4">
        <v>1.32</v>
      </c>
    </row>
    <row r="59" spans="1:6">
      <c r="A59" s="4">
        <v>2039</v>
      </c>
      <c r="B59" s="4" t="s">
        <v>9</v>
      </c>
      <c r="C59" s="4">
        <v>69</v>
      </c>
      <c r="D59" s="4">
        <v>72</v>
      </c>
      <c r="E59" s="4">
        <v>90</v>
      </c>
      <c r="F59" s="4">
        <v>1.35</v>
      </c>
    </row>
    <row r="60" spans="1:6">
      <c r="A60" s="4">
        <v>2040</v>
      </c>
      <c r="B60" s="4" t="s">
        <v>9</v>
      </c>
      <c r="C60" s="4">
        <v>68</v>
      </c>
      <c r="D60" s="4">
        <v>70</v>
      </c>
      <c r="E60" s="4">
        <v>95</v>
      </c>
      <c r="F60" s="4">
        <v>1.38</v>
      </c>
    </row>
    <row r="61" spans="1:6">
      <c r="A61" s="4">
        <v>2041</v>
      </c>
      <c r="B61" s="4" t="s">
        <v>9</v>
      </c>
      <c r="C61" s="4">
        <v>67</v>
      </c>
      <c r="D61" s="4">
        <v>68</v>
      </c>
      <c r="E61" s="4">
        <v>100</v>
      </c>
      <c r="F61" s="4">
        <v>1.4</v>
      </c>
    </row>
    <row r="62" spans="1:6">
      <c r="A62" s="4">
        <v>2042</v>
      </c>
      <c r="B62" s="4" t="s">
        <v>9</v>
      </c>
      <c r="C62" s="4">
        <v>66</v>
      </c>
      <c r="D62" s="4">
        <v>66</v>
      </c>
      <c r="E62" s="4">
        <v>105</v>
      </c>
      <c r="F62" s="4">
        <v>1.43</v>
      </c>
    </row>
    <row r="63" spans="1:6">
      <c r="A63" s="4">
        <v>2043</v>
      </c>
      <c r="B63" s="4" t="s">
        <v>9</v>
      </c>
      <c r="C63" s="4">
        <v>65</v>
      </c>
      <c r="D63" s="4">
        <v>64</v>
      </c>
      <c r="E63" s="4">
        <v>110</v>
      </c>
      <c r="F63" s="4">
        <v>1.46</v>
      </c>
    </row>
    <row r="64" spans="1:6">
      <c r="A64" s="4">
        <v>2044</v>
      </c>
      <c r="B64" s="4" t="s">
        <v>9</v>
      </c>
      <c r="C64" s="4">
        <v>64</v>
      </c>
      <c r="D64" s="4">
        <v>62</v>
      </c>
      <c r="E64" s="4">
        <v>115</v>
      </c>
      <c r="F64" s="4">
        <v>1.49</v>
      </c>
    </row>
    <row r="65" spans="1:6">
      <c r="A65" s="4">
        <v>2045</v>
      </c>
      <c r="B65" s="4" t="s">
        <v>9</v>
      </c>
      <c r="C65" s="4">
        <v>63</v>
      </c>
      <c r="D65" s="4">
        <v>60</v>
      </c>
      <c r="E65" s="4">
        <v>120</v>
      </c>
      <c r="F65" s="4">
        <v>1.52</v>
      </c>
    </row>
    <row r="66" spans="1:6">
      <c r="A66" s="4">
        <v>2046</v>
      </c>
      <c r="B66" s="4" t="s">
        <v>9</v>
      </c>
      <c r="C66" s="4">
        <v>62</v>
      </c>
      <c r="D66" s="4">
        <v>58</v>
      </c>
      <c r="E66" s="4">
        <v>125</v>
      </c>
      <c r="F66" s="4">
        <v>1.55</v>
      </c>
    </row>
    <row r="67" spans="1:6">
      <c r="A67" s="4">
        <v>2047</v>
      </c>
      <c r="B67" s="4" t="s">
        <v>9</v>
      </c>
      <c r="C67" s="4">
        <v>61</v>
      </c>
      <c r="D67" s="4">
        <v>56</v>
      </c>
      <c r="E67" s="4">
        <v>130</v>
      </c>
      <c r="F67" s="4">
        <v>1.58</v>
      </c>
    </row>
    <row r="68" spans="1:6">
      <c r="A68" s="4">
        <v>2048</v>
      </c>
      <c r="B68" s="4" t="s">
        <v>9</v>
      </c>
      <c r="C68" s="4">
        <v>60</v>
      </c>
      <c r="D68" s="4">
        <v>54</v>
      </c>
      <c r="E68" s="4">
        <v>135</v>
      </c>
      <c r="F68" s="4">
        <v>1.61</v>
      </c>
    </row>
    <row r="69" spans="1:6">
      <c r="A69" s="4">
        <v>2049</v>
      </c>
      <c r="B69" s="4" t="s">
        <v>9</v>
      </c>
      <c r="C69" s="4">
        <v>59</v>
      </c>
      <c r="D69" s="4">
        <v>52</v>
      </c>
      <c r="E69" s="4">
        <v>140</v>
      </c>
      <c r="F69" s="4">
        <v>1.64</v>
      </c>
    </row>
    <row r="70" spans="1:6">
      <c r="A70" s="4">
        <v>2050</v>
      </c>
      <c r="B70" s="4" t="s">
        <v>9</v>
      </c>
      <c r="C70" s="4">
        <v>58</v>
      </c>
      <c r="D70" s="4">
        <v>50</v>
      </c>
      <c r="E70" s="4">
        <v>150</v>
      </c>
      <c r="F70" s="4">
        <v>1.68</v>
      </c>
    </row>
    <row r="71" spans="1:6">
      <c r="A71" s="4">
        <v>2024</v>
      </c>
      <c r="B71" s="4" t="s">
        <v>306</v>
      </c>
      <c r="C71" s="4">
        <v>95</v>
      </c>
      <c r="D71" s="4">
        <v>140</v>
      </c>
      <c r="E71" s="4">
        <v>20</v>
      </c>
      <c r="F71" s="4">
        <v>1</v>
      </c>
    </row>
    <row r="72" spans="1:6">
      <c r="A72" s="4">
        <v>2025</v>
      </c>
      <c r="B72" s="4" t="s">
        <v>306</v>
      </c>
      <c r="C72" s="4">
        <v>110</v>
      </c>
      <c r="D72" s="4">
        <v>160</v>
      </c>
      <c r="E72" s="4">
        <v>25</v>
      </c>
      <c r="F72" s="4">
        <v>1.03</v>
      </c>
    </row>
    <row r="73" spans="1:6">
      <c r="A73" s="4">
        <v>2026</v>
      </c>
      <c r="B73" s="4" t="s">
        <v>306</v>
      </c>
      <c r="C73" s="4">
        <v>105</v>
      </c>
      <c r="D73" s="4">
        <v>150</v>
      </c>
      <c r="E73" s="4">
        <v>30</v>
      </c>
      <c r="F73" s="4">
        <v>1.06</v>
      </c>
    </row>
    <row r="74" spans="1:6">
      <c r="A74" s="4">
        <v>2027</v>
      </c>
      <c r="B74" s="4" t="s">
        <v>306</v>
      </c>
      <c r="C74" s="4">
        <v>100</v>
      </c>
      <c r="D74" s="4">
        <v>140</v>
      </c>
      <c r="E74" s="4">
        <v>35</v>
      </c>
      <c r="F74" s="4">
        <v>1.0900000000000001</v>
      </c>
    </row>
    <row r="75" spans="1:6">
      <c r="A75" s="4">
        <v>2028</v>
      </c>
      <c r="B75" s="4" t="s">
        <v>306</v>
      </c>
      <c r="C75" s="4">
        <v>95</v>
      </c>
      <c r="D75" s="4">
        <v>130</v>
      </c>
      <c r="E75" s="4">
        <v>40</v>
      </c>
      <c r="F75" s="4">
        <v>1.1200000000000001</v>
      </c>
    </row>
    <row r="76" spans="1:6">
      <c r="A76" s="4">
        <v>2029</v>
      </c>
      <c r="B76" s="4" t="s">
        <v>306</v>
      </c>
      <c r="C76" s="4">
        <v>90</v>
      </c>
      <c r="D76" s="4">
        <v>120</v>
      </c>
      <c r="E76" s="4">
        <v>50</v>
      </c>
      <c r="F76" s="4">
        <v>1.1599999999999999</v>
      </c>
    </row>
    <row r="77" spans="1:6">
      <c r="A77" s="4">
        <v>2030</v>
      </c>
      <c r="B77" s="4" t="s">
        <v>306</v>
      </c>
      <c r="C77" s="4">
        <v>85</v>
      </c>
      <c r="D77" s="4">
        <v>110</v>
      </c>
      <c r="E77" s="4">
        <v>60</v>
      </c>
      <c r="F77" s="4">
        <v>1.19</v>
      </c>
    </row>
    <row r="78" spans="1:6">
      <c r="A78" s="4">
        <v>2031</v>
      </c>
      <c r="B78" s="4" t="s">
        <v>306</v>
      </c>
      <c r="C78" s="4">
        <v>88</v>
      </c>
      <c r="D78" s="4">
        <v>115</v>
      </c>
      <c r="E78" s="4">
        <v>70</v>
      </c>
      <c r="F78" s="4">
        <v>1.23</v>
      </c>
    </row>
    <row r="79" spans="1:6">
      <c r="A79" s="4">
        <v>2032</v>
      </c>
      <c r="B79" s="4" t="s">
        <v>306</v>
      </c>
      <c r="C79" s="4">
        <v>92</v>
      </c>
      <c r="D79" s="4">
        <v>120</v>
      </c>
      <c r="E79" s="4">
        <v>80</v>
      </c>
      <c r="F79" s="4">
        <v>1.26</v>
      </c>
    </row>
    <row r="80" spans="1:6">
      <c r="A80" s="4">
        <v>2033</v>
      </c>
      <c r="B80" s="4" t="s">
        <v>306</v>
      </c>
      <c r="C80" s="4">
        <v>95</v>
      </c>
      <c r="D80" s="4">
        <v>125</v>
      </c>
      <c r="E80" s="4">
        <v>90</v>
      </c>
      <c r="F80" s="4">
        <v>1.3</v>
      </c>
    </row>
    <row r="81" spans="1:6">
      <c r="A81" s="4">
        <v>2034</v>
      </c>
      <c r="B81" s="4" t="s">
        <v>306</v>
      </c>
      <c r="C81" s="4">
        <v>98</v>
      </c>
      <c r="D81" s="4">
        <v>130</v>
      </c>
      <c r="E81" s="4">
        <v>100</v>
      </c>
      <c r="F81" s="4">
        <v>1.34</v>
      </c>
    </row>
    <row r="82" spans="1:6">
      <c r="A82" s="4">
        <v>2035</v>
      </c>
      <c r="B82" s="4" t="s">
        <v>306</v>
      </c>
      <c r="C82" s="4">
        <v>100</v>
      </c>
      <c r="D82" s="4">
        <v>135</v>
      </c>
      <c r="E82" s="4">
        <v>110</v>
      </c>
      <c r="F82" s="4">
        <v>1.38</v>
      </c>
    </row>
    <row r="83" spans="1:6">
      <c r="A83" s="4">
        <v>2036</v>
      </c>
      <c r="B83" s="4" t="s">
        <v>306</v>
      </c>
      <c r="C83" s="4">
        <v>102</v>
      </c>
      <c r="D83" s="4">
        <v>140</v>
      </c>
      <c r="E83" s="4">
        <v>120</v>
      </c>
      <c r="F83" s="4">
        <v>1.42</v>
      </c>
    </row>
    <row r="84" spans="1:6">
      <c r="A84" s="4">
        <v>2037</v>
      </c>
      <c r="B84" s="4" t="s">
        <v>306</v>
      </c>
      <c r="C84" s="4">
        <v>105</v>
      </c>
      <c r="D84" s="4">
        <v>145</v>
      </c>
      <c r="E84" s="4">
        <v>130</v>
      </c>
      <c r="F84" s="4">
        <v>1.46</v>
      </c>
    </row>
    <row r="85" spans="1:6">
      <c r="A85" s="4">
        <v>2038</v>
      </c>
      <c r="B85" s="4" t="s">
        <v>306</v>
      </c>
      <c r="C85" s="4">
        <v>108</v>
      </c>
      <c r="D85" s="4">
        <v>150</v>
      </c>
      <c r="E85" s="4">
        <v>140</v>
      </c>
      <c r="F85" s="4">
        <v>1.51</v>
      </c>
    </row>
    <row r="86" spans="1:6">
      <c r="A86" s="4">
        <v>2039</v>
      </c>
      <c r="B86" s="4" t="s">
        <v>306</v>
      </c>
      <c r="C86" s="4">
        <v>110</v>
      </c>
      <c r="D86" s="4">
        <v>155</v>
      </c>
      <c r="E86" s="4">
        <v>150</v>
      </c>
      <c r="F86" s="4">
        <v>1.55</v>
      </c>
    </row>
    <row r="87" spans="1:6">
      <c r="A87" s="4">
        <v>2040</v>
      </c>
      <c r="B87" s="4" t="s">
        <v>306</v>
      </c>
      <c r="C87" s="4">
        <v>112</v>
      </c>
      <c r="D87" s="4">
        <v>160</v>
      </c>
      <c r="E87" s="4">
        <v>160</v>
      </c>
      <c r="F87" s="4">
        <v>1.6</v>
      </c>
    </row>
    <row r="88" spans="1:6">
      <c r="A88" s="4">
        <v>2041</v>
      </c>
      <c r="B88" s="4" t="s">
        <v>306</v>
      </c>
      <c r="C88" s="4">
        <v>115</v>
      </c>
      <c r="D88" s="4">
        <v>165</v>
      </c>
      <c r="E88" s="4">
        <v>170</v>
      </c>
      <c r="F88" s="4">
        <v>1.65</v>
      </c>
    </row>
    <row r="89" spans="1:6">
      <c r="A89" s="4">
        <v>2042</v>
      </c>
      <c r="B89" s="4" t="s">
        <v>306</v>
      </c>
      <c r="C89" s="4">
        <v>118</v>
      </c>
      <c r="D89" s="4">
        <v>170</v>
      </c>
      <c r="E89" s="4">
        <v>180</v>
      </c>
      <c r="F89" s="4">
        <v>1.7</v>
      </c>
    </row>
    <row r="90" spans="1:6">
      <c r="A90" s="4">
        <v>2043</v>
      </c>
      <c r="B90" s="4" t="s">
        <v>306</v>
      </c>
      <c r="C90" s="4">
        <v>120</v>
      </c>
      <c r="D90" s="4">
        <v>175</v>
      </c>
      <c r="E90" s="4">
        <v>190</v>
      </c>
      <c r="F90" s="4">
        <v>1.75</v>
      </c>
    </row>
    <row r="91" spans="1:6">
      <c r="A91" s="4">
        <v>2044</v>
      </c>
      <c r="B91" s="4" t="s">
        <v>306</v>
      </c>
      <c r="C91" s="4">
        <v>122</v>
      </c>
      <c r="D91" s="4">
        <v>180</v>
      </c>
      <c r="E91" s="4">
        <v>200</v>
      </c>
      <c r="F91" s="4">
        <v>1.8</v>
      </c>
    </row>
    <row r="92" spans="1:6">
      <c r="A92" s="4">
        <v>2045</v>
      </c>
      <c r="B92" s="4" t="s">
        <v>306</v>
      </c>
      <c r="C92" s="4">
        <v>125</v>
      </c>
      <c r="D92" s="4">
        <v>185</v>
      </c>
      <c r="E92" s="4">
        <v>210</v>
      </c>
      <c r="F92" s="4">
        <v>1.85</v>
      </c>
    </row>
    <row r="93" spans="1:6">
      <c r="A93" s="4">
        <v>2046</v>
      </c>
      <c r="B93" s="4" t="s">
        <v>306</v>
      </c>
      <c r="C93" s="4">
        <v>128</v>
      </c>
      <c r="D93" s="4">
        <v>190</v>
      </c>
      <c r="E93" s="4">
        <v>220</v>
      </c>
      <c r="F93" s="4">
        <v>1.91</v>
      </c>
    </row>
    <row r="94" spans="1:6">
      <c r="A94" s="4">
        <v>2047</v>
      </c>
      <c r="B94" s="4" t="s">
        <v>306</v>
      </c>
      <c r="C94" s="4">
        <v>130</v>
      </c>
      <c r="D94" s="4">
        <v>195</v>
      </c>
      <c r="E94" s="4">
        <v>230</v>
      </c>
      <c r="F94" s="4">
        <v>1.97</v>
      </c>
    </row>
    <row r="95" spans="1:6">
      <c r="A95" s="4">
        <v>2048</v>
      </c>
      <c r="B95" s="4" t="s">
        <v>306</v>
      </c>
      <c r="C95" s="4">
        <v>132</v>
      </c>
      <c r="D95" s="4">
        <v>200</v>
      </c>
      <c r="E95" s="4">
        <v>240</v>
      </c>
      <c r="F95" s="4">
        <v>2.0299999999999998</v>
      </c>
    </row>
    <row r="96" spans="1:6">
      <c r="A96" s="4">
        <v>2049</v>
      </c>
      <c r="B96" s="4" t="s">
        <v>306</v>
      </c>
      <c r="C96" s="4">
        <v>135</v>
      </c>
      <c r="D96" s="4">
        <v>205</v>
      </c>
      <c r="E96" s="4">
        <v>250</v>
      </c>
      <c r="F96" s="4">
        <v>2.09</v>
      </c>
    </row>
    <row r="97" spans="1:6">
      <c r="A97" s="4">
        <v>2050</v>
      </c>
      <c r="B97" s="4" t="s">
        <v>306</v>
      </c>
      <c r="C97" s="4">
        <v>138</v>
      </c>
      <c r="D97" s="4">
        <v>210</v>
      </c>
      <c r="E97" s="4">
        <v>260</v>
      </c>
      <c r="F97" s="4">
        <v>2.15</v>
      </c>
    </row>
    <row r="99" spans="1:6">
      <c r="A99" s="5" t="s">
        <v>307</v>
      </c>
    </row>
    <row r="100" spans="1:6">
      <c r="A100" s="8" t="s">
        <v>308</v>
      </c>
      <c r="B100" s="8" t="s">
        <v>309</v>
      </c>
      <c r="C100" s="8" t="s">
        <v>310</v>
      </c>
      <c r="D100" s="8" t="s">
        <v>311</v>
      </c>
      <c r="E100" s="8" t="s">
        <v>33</v>
      </c>
    </row>
    <row r="101" spans="1:6">
      <c r="A101" s="4" t="s">
        <v>219</v>
      </c>
      <c r="B101" s="4">
        <v>2000</v>
      </c>
      <c r="C101" s="4">
        <v>999999</v>
      </c>
      <c r="D101" s="4" t="s">
        <v>312</v>
      </c>
      <c r="E101" s="4" t="s">
        <v>313</v>
      </c>
    </row>
    <row r="102" spans="1:6">
      <c r="A102" s="4" t="s">
        <v>219</v>
      </c>
      <c r="B102" s="4">
        <v>800</v>
      </c>
      <c r="C102" s="4">
        <v>2000</v>
      </c>
      <c r="D102" s="4" t="s">
        <v>314</v>
      </c>
      <c r="E102" s="4" t="s">
        <v>313</v>
      </c>
    </row>
    <row r="103" spans="1:6">
      <c r="A103" s="4" t="s">
        <v>219</v>
      </c>
      <c r="B103" s="4">
        <v>400</v>
      </c>
      <c r="C103" s="4">
        <v>800</v>
      </c>
      <c r="D103" s="4" t="s">
        <v>315</v>
      </c>
      <c r="E103" s="4" t="s">
        <v>313</v>
      </c>
    </row>
    <row r="104" spans="1:6">
      <c r="A104" s="4" t="s">
        <v>219</v>
      </c>
      <c r="B104" s="4">
        <v>100</v>
      </c>
      <c r="C104" s="4">
        <v>400</v>
      </c>
      <c r="D104" s="4" t="s">
        <v>10</v>
      </c>
      <c r="E104" s="4" t="s">
        <v>313</v>
      </c>
    </row>
    <row r="105" spans="1:6">
      <c r="A105" s="4" t="s">
        <v>219</v>
      </c>
      <c r="B105" s="4">
        <v>20</v>
      </c>
      <c r="C105" s="4">
        <v>100</v>
      </c>
      <c r="D105" s="4" t="s">
        <v>18</v>
      </c>
      <c r="E105" s="4" t="s">
        <v>313</v>
      </c>
    </row>
    <row r="106" spans="1:6">
      <c r="A106" s="4" t="s">
        <v>219</v>
      </c>
      <c r="B106" s="4">
        <v>0</v>
      </c>
      <c r="C106" s="4">
        <v>20</v>
      </c>
      <c r="D106" s="4" t="s">
        <v>316</v>
      </c>
      <c r="E106" s="4" t="s">
        <v>313</v>
      </c>
    </row>
    <row r="107" spans="1:6">
      <c r="A107" s="4" t="s">
        <v>317</v>
      </c>
      <c r="B107" s="4">
        <v>15</v>
      </c>
      <c r="C107" s="4">
        <v>999</v>
      </c>
      <c r="D107" s="4" t="s">
        <v>312</v>
      </c>
      <c r="E107" s="4" t="s">
        <v>313</v>
      </c>
    </row>
    <row r="108" spans="1:6">
      <c r="A108" s="4" t="s">
        <v>317</v>
      </c>
      <c r="B108" s="4">
        <v>11</v>
      </c>
      <c r="C108" s="4">
        <v>15</v>
      </c>
      <c r="D108" s="4" t="s">
        <v>314</v>
      </c>
      <c r="E108" s="4" t="s">
        <v>313</v>
      </c>
    </row>
    <row r="109" spans="1:6">
      <c r="A109" s="4" t="s">
        <v>317</v>
      </c>
      <c r="B109" s="4">
        <v>8</v>
      </c>
      <c r="C109" s="4">
        <v>11</v>
      </c>
      <c r="D109" s="4" t="s">
        <v>315</v>
      </c>
      <c r="E109" s="4" t="s">
        <v>313</v>
      </c>
    </row>
    <row r="110" spans="1:6">
      <c r="A110" s="4" t="s">
        <v>317</v>
      </c>
      <c r="B110" s="4">
        <v>4</v>
      </c>
      <c r="C110" s="4">
        <v>8</v>
      </c>
      <c r="D110" s="4" t="s">
        <v>10</v>
      </c>
      <c r="E110" s="4" t="s">
        <v>313</v>
      </c>
    </row>
    <row r="111" spans="1:6">
      <c r="A111" s="4" t="s">
        <v>317</v>
      </c>
      <c r="B111" s="4">
        <v>1</v>
      </c>
      <c r="C111" s="4">
        <v>4</v>
      </c>
      <c r="D111" s="4" t="s">
        <v>18</v>
      </c>
      <c r="E111" s="4" t="s">
        <v>313</v>
      </c>
    </row>
    <row r="112" spans="1:6">
      <c r="A112" s="4" t="s">
        <v>317</v>
      </c>
      <c r="B112" s="4">
        <v>0</v>
      </c>
      <c r="C112" s="4">
        <v>1</v>
      </c>
      <c r="D112" s="4" t="s">
        <v>316</v>
      </c>
      <c r="E112" s="4" t="s">
        <v>313</v>
      </c>
    </row>
    <row r="113" spans="1:5">
      <c r="A113" s="4" t="s">
        <v>317</v>
      </c>
      <c r="B113" s="4">
        <v>-10</v>
      </c>
      <c r="C113" s="4">
        <v>0</v>
      </c>
      <c r="D113" s="4" t="s">
        <v>316</v>
      </c>
      <c r="E113" s="4" t="s">
        <v>318</v>
      </c>
    </row>
    <row r="114" spans="1:5">
      <c r="A114" s="4" t="s">
        <v>317</v>
      </c>
      <c r="B114" s="4">
        <v>-20</v>
      </c>
      <c r="C114" s="4">
        <v>-10</v>
      </c>
      <c r="D114" s="4" t="s">
        <v>319</v>
      </c>
      <c r="E114" s="4" t="s">
        <v>320</v>
      </c>
    </row>
    <row r="115" spans="1:5">
      <c r="A115" s="4" t="s">
        <v>317</v>
      </c>
      <c r="B115" s="4">
        <v>-999</v>
      </c>
      <c r="C115" s="4">
        <v>-20</v>
      </c>
      <c r="D115" s="4" t="s">
        <v>321</v>
      </c>
      <c r="E115" s="4" t="s">
        <v>322</v>
      </c>
    </row>
    <row r="116" spans="1:5">
      <c r="A116" s="4" t="s">
        <v>323</v>
      </c>
      <c r="B116" s="4">
        <v>12</v>
      </c>
      <c r="C116" s="4">
        <v>999</v>
      </c>
      <c r="D116" s="4" t="s">
        <v>312</v>
      </c>
      <c r="E116" s="4" t="s">
        <v>313</v>
      </c>
    </row>
    <row r="117" spans="1:5">
      <c r="A117" s="4" t="s">
        <v>323</v>
      </c>
      <c r="B117" s="4">
        <v>6</v>
      </c>
      <c r="C117" s="4">
        <v>12</v>
      </c>
      <c r="D117" s="4" t="s">
        <v>314</v>
      </c>
      <c r="E117" s="4" t="s">
        <v>313</v>
      </c>
    </row>
    <row r="118" spans="1:5">
      <c r="A118" s="4" t="s">
        <v>323</v>
      </c>
      <c r="B118" s="4">
        <v>4</v>
      </c>
      <c r="C118" s="4">
        <v>6</v>
      </c>
      <c r="D118" s="4" t="s">
        <v>315</v>
      </c>
      <c r="E118" s="4" t="s">
        <v>313</v>
      </c>
    </row>
    <row r="119" spans="1:5">
      <c r="A119" s="4" t="s">
        <v>323</v>
      </c>
      <c r="B119" s="4">
        <v>2</v>
      </c>
      <c r="C119" s="4">
        <v>4</v>
      </c>
      <c r="D119" s="4" t="s">
        <v>10</v>
      </c>
      <c r="E119" s="4" t="s">
        <v>313</v>
      </c>
    </row>
    <row r="120" spans="1:5">
      <c r="A120" s="4" t="s">
        <v>323</v>
      </c>
      <c r="B120" s="4">
        <v>1</v>
      </c>
      <c r="C120" s="4">
        <v>2</v>
      </c>
      <c r="D120" s="4" t="s">
        <v>18</v>
      </c>
      <c r="E120" s="4" t="s">
        <v>313</v>
      </c>
    </row>
    <row r="121" spans="1:5">
      <c r="A121" s="4" t="s">
        <v>323</v>
      </c>
      <c r="B121" s="4">
        <v>0.5</v>
      </c>
      <c r="C121" s="4">
        <v>1</v>
      </c>
      <c r="D121" s="4" t="s">
        <v>316</v>
      </c>
      <c r="E121" s="4" t="s">
        <v>313</v>
      </c>
    </row>
    <row r="122" spans="1:5">
      <c r="A122" s="4" t="s">
        <v>323</v>
      </c>
      <c r="B122" s="4">
        <v>0</v>
      </c>
      <c r="C122" s="4">
        <v>0.5</v>
      </c>
      <c r="D122" s="4" t="s">
        <v>319</v>
      </c>
      <c r="E122" s="4" t="s">
        <v>320</v>
      </c>
    </row>
    <row r="123" spans="1:5">
      <c r="A123" s="4" t="s">
        <v>323</v>
      </c>
      <c r="B123" s="4">
        <v>-2</v>
      </c>
      <c r="C123" s="4">
        <v>0</v>
      </c>
      <c r="D123" s="4" t="s">
        <v>321</v>
      </c>
      <c r="E123" s="4" t="s">
        <v>320</v>
      </c>
    </row>
    <row r="124" spans="1:5">
      <c r="A124" s="4" t="s">
        <v>323</v>
      </c>
      <c r="B124" s="4">
        <v>-5</v>
      </c>
      <c r="C124" s="4">
        <v>-2</v>
      </c>
      <c r="D124" s="4" t="s">
        <v>59</v>
      </c>
      <c r="E124" s="4" t="s">
        <v>324</v>
      </c>
    </row>
    <row r="125" spans="1:5">
      <c r="A125" s="4" t="s">
        <v>323</v>
      </c>
      <c r="B125" s="4">
        <v>-999</v>
      </c>
      <c r="C125" s="4">
        <v>-5</v>
      </c>
      <c r="D125" s="4" t="s">
        <v>325</v>
      </c>
      <c r="E125" s="4" t="s">
        <v>326</v>
      </c>
    </row>
    <row r="126" spans="1:5">
      <c r="A126" s="4" t="s">
        <v>327</v>
      </c>
      <c r="B126" s="4">
        <v>2.5</v>
      </c>
      <c r="C126" s="4">
        <v>999</v>
      </c>
      <c r="D126" s="4" t="s">
        <v>312</v>
      </c>
      <c r="E126" s="4" t="s">
        <v>328</v>
      </c>
    </row>
    <row r="127" spans="1:5">
      <c r="A127" s="4" t="s">
        <v>327</v>
      </c>
      <c r="B127" s="4">
        <v>2</v>
      </c>
      <c r="C127" s="4">
        <v>2.5</v>
      </c>
      <c r="D127" s="4" t="s">
        <v>314</v>
      </c>
      <c r="E127" s="4" t="s">
        <v>328</v>
      </c>
    </row>
    <row r="128" spans="1:5">
      <c r="A128" s="4" t="s">
        <v>327</v>
      </c>
      <c r="B128" s="4">
        <v>1.6</v>
      </c>
      <c r="C128" s="4">
        <v>2</v>
      </c>
      <c r="D128" s="4" t="s">
        <v>315</v>
      </c>
      <c r="E128" s="4" t="s">
        <v>329</v>
      </c>
    </row>
    <row r="129" spans="1:5">
      <c r="A129" s="4" t="s">
        <v>327</v>
      </c>
      <c r="B129" s="4">
        <v>1.3</v>
      </c>
      <c r="C129" s="4">
        <v>1.6</v>
      </c>
      <c r="D129" s="4" t="s">
        <v>10</v>
      </c>
      <c r="E129" s="4" t="s">
        <v>329</v>
      </c>
    </row>
    <row r="130" spans="1:5">
      <c r="A130" s="4" t="s">
        <v>327</v>
      </c>
      <c r="B130" s="4">
        <v>1.1000000000000001</v>
      </c>
      <c r="C130" s="4">
        <v>1.3</v>
      </c>
      <c r="D130" s="4" t="s">
        <v>18</v>
      </c>
      <c r="E130" s="4" t="s">
        <v>329</v>
      </c>
    </row>
    <row r="131" spans="1:5">
      <c r="A131" s="4" t="s">
        <v>327</v>
      </c>
      <c r="B131" s="4">
        <v>1</v>
      </c>
      <c r="C131" s="4">
        <v>1.1000000000000001</v>
      </c>
      <c r="D131" s="4" t="s">
        <v>316</v>
      </c>
      <c r="E131" s="4" t="s">
        <v>329</v>
      </c>
    </row>
    <row r="132" spans="1:5">
      <c r="A132" s="4" t="s">
        <v>327</v>
      </c>
      <c r="B132" s="4">
        <v>0.8</v>
      </c>
      <c r="C132" s="4">
        <v>1</v>
      </c>
      <c r="D132" s="4" t="s">
        <v>319</v>
      </c>
      <c r="E132" s="4" t="s">
        <v>329</v>
      </c>
    </row>
    <row r="133" spans="1:5">
      <c r="A133" s="4" t="s">
        <v>327</v>
      </c>
      <c r="B133" s="4">
        <v>0.5</v>
      </c>
      <c r="C133" s="4">
        <v>0.8</v>
      </c>
      <c r="D133" s="4" t="s">
        <v>321</v>
      </c>
      <c r="E133" s="4" t="s">
        <v>329</v>
      </c>
    </row>
    <row r="134" spans="1:5">
      <c r="A134" s="4" t="s">
        <v>327</v>
      </c>
      <c r="B134" s="4">
        <v>0</v>
      </c>
      <c r="C134" s="4">
        <v>0.5</v>
      </c>
      <c r="D134" s="4" t="s">
        <v>59</v>
      </c>
      <c r="E134" s="4" t="s">
        <v>329</v>
      </c>
    </row>
    <row r="135" spans="1:5">
      <c r="A135" s="4" t="s">
        <v>327</v>
      </c>
      <c r="B135" s="4">
        <v>-999</v>
      </c>
      <c r="C135" s="4">
        <v>0</v>
      </c>
      <c r="D135" s="4" t="s">
        <v>325</v>
      </c>
      <c r="E135" s="4" t="s">
        <v>329</v>
      </c>
    </row>
    <row r="137" spans="1:5">
      <c r="A137" s="5" t="s">
        <v>330</v>
      </c>
    </row>
    <row r="138" spans="1:5">
      <c r="A138" s="8" t="s">
        <v>311</v>
      </c>
      <c r="B138" s="8" t="s">
        <v>331</v>
      </c>
      <c r="C138" s="8" t="s">
        <v>33</v>
      </c>
    </row>
    <row r="139" spans="1:5">
      <c r="A139" s="4" t="s">
        <v>312</v>
      </c>
      <c r="B139" s="4">
        <v>50</v>
      </c>
      <c r="C139" s="4" t="s">
        <v>332</v>
      </c>
    </row>
    <row r="140" spans="1:5">
      <c r="A140" s="4" t="s">
        <v>314</v>
      </c>
      <c r="B140" s="4">
        <v>100</v>
      </c>
      <c r="C140" s="4" t="s">
        <v>332</v>
      </c>
    </row>
    <row r="141" spans="1:5">
      <c r="A141" s="4" t="s">
        <v>315</v>
      </c>
      <c r="B141" s="4">
        <v>150</v>
      </c>
      <c r="C141" s="4" t="s">
        <v>332</v>
      </c>
    </row>
    <row r="142" spans="1:5">
      <c r="A142" s="4" t="s">
        <v>10</v>
      </c>
      <c r="B142" s="4">
        <v>250</v>
      </c>
      <c r="C142" s="4" t="s">
        <v>332</v>
      </c>
    </row>
    <row r="143" spans="1:5">
      <c r="A143" s="4" t="s">
        <v>18</v>
      </c>
      <c r="B143" s="4">
        <v>400</v>
      </c>
      <c r="C143" s="4" t="s">
        <v>332</v>
      </c>
    </row>
    <row r="144" spans="1:5">
      <c r="A144" s="4" t="s">
        <v>316</v>
      </c>
      <c r="B144" s="4">
        <v>600</v>
      </c>
      <c r="C144" s="4" t="s">
        <v>332</v>
      </c>
    </row>
    <row r="145" spans="1:3">
      <c r="A145" s="4" t="s">
        <v>319</v>
      </c>
      <c r="B145" s="4">
        <v>900</v>
      </c>
      <c r="C145" s="4" t="s">
        <v>333</v>
      </c>
    </row>
    <row r="146" spans="1:3">
      <c r="A146" s="4" t="s">
        <v>321</v>
      </c>
      <c r="B146" s="4">
        <v>1500</v>
      </c>
      <c r="C146" s="4" t="s">
        <v>334</v>
      </c>
    </row>
    <row r="147" spans="1:3">
      <c r="A147" s="4" t="s">
        <v>59</v>
      </c>
      <c r="B147" s="4">
        <v>2500</v>
      </c>
      <c r="C147" s="4" t="s">
        <v>335</v>
      </c>
    </row>
    <row r="148" spans="1:3">
      <c r="A148" s="4" t="s">
        <v>325</v>
      </c>
      <c r="B148" s="4">
        <v>5000</v>
      </c>
      <c r="C148" s="4" t="s">
        <v>336</v>
      </c>
    </row>
  </sheetData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93"/>
  <sheetViews>
    <sheetView workbookViewId="0"/>
  </sheetViews>
  <sheetFormatPr baseColWidth="10" defaultColWidth="8.83203125" defaultRowHeight="17"/>
  <cols>
    <col min="1" max="1" width="5" customWidth="1"/>
    <col min="2" max="8" width="12" customWidth="1"/>
  </cols>
  <sheetData>
    <row r="1" spans="2:9" ht="20">
      <c r="B1" s="1" t="s">
        <v>337</v>
      </c>
    </row>
    <row r="2" spans="2:9">
      <c r="B2" s="9" t="s">
        <v>338</v>
      </c>
    </row>
    <row r="4" spans="2:9">
      <c r="B4" s="5" t="s">
        <v>339</v>
      </c>
    </row>
    <row r="5" spans="2:9">
      <c r="B5" s="18" t="s">
        <v>340</v>
      </c>
      <c r="C5" s="19"/>
      <c r="D5" s="19"/>
      <c r="E5" s="19"/>
      <c r="F5" s="19"/>
      <c r="G5" s="19"/>
      <c r="H5" s="19"/>
      <c r="I5" s="20"/>
    </row>
    <row r="6" spans="2:9">
      <c r="B6" s="12"/>
      <c r="C6" s="13"/>
      <c r="D6" s="13"/>
      <c r="E6" s="13"/>
      <c r="F6" s="13"/>
      <c r="G6" s="13"/>
      <c r="H6" s="13"/>
      <c r="I6" s="14"/>
    </row>
    <row r="7" spans="2:9">
      <c r="B7" s="12" t="s">
        <v>341</v>
      </c>
      <c r="C7" s="13"/>
      <c r="D7" s="13"/>
      <c r="E7" s="13"/>
      <c r="F7" s="13"/>
      <c r="G7" s="13"/>
      <c r="H7" s="13"/>
      <c r="I7" s="14"/>
    </row>
    <row r="8" spans="2:9">
      <c r="B8" s="12" t="s">
        <v>342</v>
      </c>
      <c r="C8" s="13"/>
      <c r="D8" s="13"/>
      <c r="E8" s="13"/>
      <c r="F8" s="13"/>
      <c r="G8" s="13"/>
      <c r="H8" s="13"/>
      <c r="I8" s="14"/>
    </row>
    <row r="9" spans="2:9">
      <c r="B9" s="12" t="s">
        <v>343</v>
      </c>
      <c r="C9" s="13"/>
      <c r="D9" s="13"/>
      <c r="E9" s="13"/>
      <c r="F9" s="13"/>
      <c r="G9" s="13"/>
      <c r="H9" s="13"/>
      <c r="I9" s="14"/>
    </row>
    <row r="10" spans="2:9">
      <c r="B10" s="21" t="s">
        <v>344</v>
      </c>
      <c r="C10" s="22"/>
      <c r="D10" s="22"/>
      <c r="E10" s="22"/>
      <c r="F10" s="22"/>
      <c r="G10" s="22"/>
      <c r="H10" s="22"/>
      <c r="I10" s="23"/>
    </row>
    <row r="12" spans="2:9">
      <c r="D12" s="2" t="s">
        <v>345</v>
      </c>
    </row>
    <row r="13" spans="2:9">
      <c r="B13" s="27" t="s">
        <v>346</v>
      </c>
      <c r="C13" s="19"/>
      <c r="D13" s="19"/>
      <c r="E13" s="19"/>
      <c r="F13" s="19"/>
      <c r="G13" s="19"/>
      <c r="H13" s="19"/>
      <c r="I13" s="20"/>
    </row>
    <row r="14" spans="2:9">
      <c r="B14" s="17"/>
      <c r="C14" s="13"/>
      <c r="D14" s="13"/>
      <c r="E14" s="13"/>
      <c r="F14" s="13"/>
      <c r="G14" s="13"/>
      <c r="H14" s="13"/>
      <c r="I14" s="14"/>
    </row>
    <row r="15" spans="2:9">
      <c r="B15" s="17" t="s">
        <v>347</v>
      </c>
      <c r="C15" s="13"/>
      <c r="D15" s="13"/>
      <c r="E15" s="13"/>
      <c r="F15" s="13"/>
      <c r="G15" s="13"/>
      <c r="H15" s="13"/>
      <c r="I15" s="14"/>
    </row>
    <row r="16" spans="2:9">
      <c r="B16" s="17" t="s">
        <v>348</v>
      </c>
      <c r="C16" s="13"/>
      <c r="D16" s="13"/>
      <c r="E16" s="13"/>
      <c r="F16" s="13"/>
      <c r="G16" s="13"/>
      <c r="H16" s="13"/>
      <c r="I16" s="14"/>
    </row>
    <row r="17" spans="2:9">
      <c r="B17" s="17" t="s">
        <v>349</v>
      </c>
      <c r="C17" s="13"/>
      <c r="D17" s="13"/>
      <c r="E17" s="13"/>
      <c r="F17" s="13"/>
      <c r="G17" s="13"/>
      <c r="H17" s="13"/>
      <c r="I17" s="14"/>
    </row>
    <row r="18" spans="2:9">
      <c r="B18" s="17" t="s">
        <v>350</v>
      </c>
      <c r="C18" s="13"/>
      <c r="D18" s="13"/>
      <c r="E18" s="13"/>
      <c r="F18" s="13"/>
      <c r="G18" s="13"/>
      <c r="H18" s="13"/>
      <c r="I18" s="14"/>
    </row>
    <row r="19" spans="2:9">
      <c r="B19" s="17" t="s">
        <v>351</v>
      </c>
      <c r="C19" s="13"/>
      <c r="D19" s="13"/>
      <c r="E19" s="13"/>
      <c r="F19" s="13"/>
      <c r="G19" s="13"/>
      <c r="H19" s="13"/>
      <c r="I19" s="14"/>
    </row>
    <row r="20" spans="2:9">
      <c r="B20" s="32" t="s">
        <v>352</v>
      </c>
      <c r="C20" s="22"/>
      <c r="D20" s="22"/>
      <c r="E20" s="22"/>
      <c r="F20" s="22"/>
      <c r="G20" s="22"/>
      <c r="H20" s="22"/>
      <c r="I20" s="23"/>
    </row>
    <row r="22" spans="2:9">
      <c r="D22" s="2" t="s">
        <v>345</v>
      </c>
    </row>
    <row r="23" spans="2:9">
      <c r="B23" s="18" t="s">
        <v>353</v>
      </c>
      <c r="C23" s="19"/>
      <c r="D23" s="19"/>
      <c r="E23" s="19"/>
      <c r="F23" s="19"/>
      <c r="G23" s="19"/>
      <c r="H23" s="19"/>
      <c r="I23" s="20"/>
    </row>
    <row r="24" spans="2:9">
      <c r="B24" s="12"/>
      <c r="C24" s="13"/>
      <c r="D24" s="13"/>
      <c r="E24" s="13"/>
      <c r="F24" s="13"/>
      <c r="G24" s="13"/>
      <c r="H24" s="13"/>
      <c r="I24" s="14"/>
    </row>
    <row r="25" spans="2:9">
      <c r="B25" s="12" t="s">
        <v>354</v>
      </c>
      <c r="C25" s="13"/>
      <c r="D25" s="13"/>
      <c r="E25" s="13"/>
      <c r="F25" s="13"/>
      <c r="G25" s="13"/>
      <c r="H25" s="13"/>
      <c r="I25" s="14"/>
    </row>
    <row r="26" spans="2:9">
      <c r="B26" s="12" t="s">
        <v>355</v>
      </c>
      <c r="C26" s="13"/>
      <c r="D26" s="13"/>
      <c r="E26" s="13"/>
      <c r="F26" s="13"/>
      <c r="G26" s="13"/>
      <c r="H26" s="13"/>
      <c r="I26" s="14"/>
    </row>
    <row r="27" spans="2:9">
      <c r="B27" s="12" t="s">
        <v>356</v>
      </c>
      <c r="C27" s="13"/>
      <c r="D27" s="13"/>
      <c r="E27" s="13"/>
      <c r="F27" s="13"/>
      <c r="G27" s="13"/>
      <c r="H27" s="13"/>
      <c r="I27" s="14"/>
    </row>
    <row r="28" spans="2:9">
      <c r="B28" s="12" t="s">
        <v>357</v>
      </c>
      <c r="C28" s="13"/>
      <c r="D28" s="13"/>
      <c r="E28" s="13"/>
      <c r="F28" s="13"/>
      <c r="G28" s="13"/>
      <c r="H28" s="13"/>
      <c r="I28" s="14"/>
    </row>
    <row r="29" spans="2:9">
      <c r="B29" s="12" t="s">
        <v>358</v>
      </c>
      <c r="C29" s="13"/>
      <c r="D29" s="13"/>
      <c r="E29" s="13"/>
      <c r="F29" s="13"/>
      <c r="G29" s="13"/>
      <c r="H29" s="13"/>
      <c r="I29" s="14"/>
    </row>
    <row r="30" spans="2:9">
      <c r="B30" s="12" t="s">
        <v>359</v>
      </c>
      <c r="C30" s="13"/>
      <c r="D30" s="13"/>
      <c r="E30" s="13"/>
      <c r="F30" s="13"/>
      <c r="G30" s="13"/>
      <c r="H30" s="13"/>
      <c r="I30" s="14"/>
    </row>
    <row r="31" spans="2:9">
      <c r="B31" s="21" t="s">
        <v>360</v>
      </c>
      <c r="C31" s="22"/>
      <c r="D31" s="22"/>
      <c r="E31" s="22"/>
      <c r="F31" s="22"/>
      <c r="G31" s="22"/>
      <c r="H31" s="22"/>
      <c r="I31" s="23"/>
    </row>
    <row r="33" spans="2:9">
      <c r="D33" s="2" t="s">
        <v>345</v>
      </c>
    </row>
    <row r="34" spans="2:9">
      <c r="B34" s="29" t="s">
        <v>361</v>
      </c>
      <c r="C34" s="19"/>
      <c r="D34" s="19"/>
      <c r="E34" s="19"/>
      <c r="F34" s="19"/>
      <c r="G34" s="19"/>
      <c r="H34" s="19"/>
      <c r="I34" s="20"/>
    </row>
    <row r="35" spans="2:9">
      <c r="B35" s="28"/>
      <c r="C35" s="13"/>
      <c r="D35" s="13"/>
      <c r="E35" s="13"/>
      <c r="F35" s="13"/>
      <c r="G35" s="13"/>
      <c r="H35" s="13"/>
      <c r="I35" s="14"/>
    </row>
    <row r="36" spans="2:9">
      <c r="B36" s="28" t="s">
        <v>362</v>
      </c>
      <c r="C36" s="13"/>
      <c r="D36" s="13"/>
      <c r="E36" s="13"/>
      <c r="F36" s="13"/>
      <c r="G36" s="13"/>
      <c r="H36" s="13"/>
      <c r="I36" s="14"/>
    </row>
    <row r="37" spans="2:9">
      <c r="B37" s="28" t="s">
        <v>363</v>
      </c>
      <c r="C37" s="13"/>
      <c r="D37" s="13"/>
      <c r="E37" s="13"/>
      <c r="F37" s="13"/>
      <c r="G37" s="13"/>
      <c r="H37" s="13"/>
      <c r="I37" s="14"/>
    </row>
    <row r="38" spans="2:9">
      <c r="B38" s="28" t="s">
        <v>364</v>
      </c>
      <c r="C38" s="13"/>
      <c r="D38" s="13"/>
      <c r="E38" s="13"/>
      <c r="F38" s="13"/>
      <c r="G38" s="13"/>
      <c r="H38" s="13"/>
      <c r="I38" s="14"/>
    </row>
    <row r="39" spans="2:9">
      <c r="B39" s="25" t="s">
        <v>365</v>
      </c>
      <c r="C39" s="22"/>
      <c r="D39" s="22"/>
      <c r="E39" s="22"/>
      <c r="F39" s="22"/>
      <c r="G39" s="22"/>
      <c r="H39" s="22"/>
      <c r="I39" s="23"/>
    </row>
    <row r="41" spans="2:9">
      <c r="D41" s="2" t="e">
        <f>(result)</f>
        <v>#NAME?</v>
      </c>
    </row>
    <row r="42" spans="2:9">
      <c r="B42" s="26" t="s">
        <v>366</v>
      </c>
      <c r="C42" s="19"/>
      <c r="D42" s="19"/>
      <c r="E42" s="19"/>
      <c r="F42" s="19"/>
      <c r="G42" s="19"/>
      <c r="H42" s="19"/>
      <c r="I42" s="20"/>
    </row>
    <row r="43" spans="2:9">
      <c r="B43" s="24"/>
      <c r="C43" s="13"/>
      <c r="D43" s="13"/>
      <c r="E43" s="13"/>
      <c r="F43" s="13"/>
      <c r="G43" s="13"/>
      <c r="H43" s="13"/>
      <c r="I43" s="14"/>
    </row>
    <row r="44" spans="2:9">
      <c r="B44" s="24" t="s">
        <v>367</v>
      </c>
      <c r="C44" s="13"/>
      <c r="D44" s="13"/>
      <c r="E44" s="13"/>
      <c r="F44" s="13"/>
      <c r="G44" s="13"/>
      <c r="H44" s="13"/>
      <c r="I44" s="14"/>
    </row>
    <row r="45" spans="2:9">
      <c r="B45" s="33" t="s">
        <v>368</v>
      </c>
      <c r="C45" s="22"/>
      <c r="D45" s="22"/>
      <c r="E45" s="22"/>
      <c r="F45" s="22"/>
      <c r="G45" s="22"/>
      <c r="H45" s="22"/>
      <c r="I45" s="23"/>
    </row>
    <row r="48" spans="2:9">
      <c r="B48" s="5" t="s">
        <v>369</v>
      </c>
    </row>
    <row r="49" spans="2:9">
      <c r="B49" s="30" t="s">
        <v>370</v>
      </c>
      <c r="C49" s="19"/>
      <c r="D49" s="19"/>
      <c r="E49" s="19"/>
      <c r="F49" s="19"/>
      <c r="G49" s="19"/>
      <c r="H49" s="19"/>
      <c r="I49" s="20"/>
    </row>
    <row r="50" spans="2:9">
      <c r="B50" s="16"/>
      <c r="C50" s="13"/>
      <c r="D50" s="13"/>
      <c r="E50" s="13"/>
      <c r="F50" s="13"/>
      <c r="G50" s="13"/>
      <c r="H50" s="13"/>
      <c r="I50" s="14"/>
    </row>
    <row r="51" spans="2:9">
      <c r="B51" s="16" t="s">
        <v>371</v>
      </c>
      <c r="C51" s="13"/>
      <c r="D51" s="13"/>
      <c r="E51" s="13"/>
      <c r="F51" s="13"/>
      <c r="G51" s="13"/>
      <c r="H51" s="13"/>
      <c r="I51" s="14"/>
    </row>
    <row r="52" spans="2:9">
      <c r="B52" s="16" t="s">
        <v>372</v>
      </c>
      <c r="C52" s="13"/>
      <c r="D52" s="13"/>
      <c r="E52" s="13"/>
      <c r="F52" s="13"/>
      <c r="G52" s="13"/>
      <c r="H52" s="13"/>
      <c r="I52" s="14"/>
    </row>
    <row r="53" spans="2:9">
      <c r="B53" s="16" t="s">
        <v>373</v>
      </c>
      <c r="C53" s="13"/>
      <c r="D53" s="13"/>
      <c r="E53" s="13"/>
      <c r="F53" s="13"/>
      <c r="G53" s="13"/>
      <c r="H53" s="13"/>
      <c r="I53" s="14"/>
    </row>
    <row r="54" spans="2:9">
      <c r="B54" s="16" t="s">
        <v>374</v>
      </c>
      <c r="C54" s="13"/>
      <c r="D54" s="13"/>
      <c r="E54" s="13"/>
      <c r="F54" s="13"/>
      <c r="G54" s="13"/>
      <c r="H54" s="13"/>
      <c r="I54" s="14"/>
    </row>
    <row r="55" spans="2:9">
      <c r="B55" s="31" t="s">
        <v>375</v>
      </c>
      <c r="C55" s="22"/>
      <c r="D55" s="22"/>
      <c r="E55" s="22"/>
      <c r="F55" s="22"/>
      <c r="G55" s="22"/>
      <c r="H55" s="22"/>
      <c r="I55" s="23"/>
    </row>
    <row r="58" spans="2:9">
      <c r="B58" s="5" t="s">
        <v>376</v>
      </c>
    </row>
    <row r="59" spans="2:9">
      <c r="B59" s="18" t="s">
        <v>377</v>
      </c>
      <c r="C59" s="19"/>
      <c r="D59" s="19"/>
      <c r="E59" s="19"/>
      <c r="F59" s="19"/>
      <c r="G59" s="19"/>
      <c r="H59" s="19"/>
      <c r="I59" s="20"/>
    </row>
    <row r="60" spans="2:9">
      <c r="B60" s="12" t="s">
        <v>378</v>
      </c>
      <c r="C60" s="13"/>
      <c r="D60" s="13"/>
      <c r="E60" s="13"/>
      <c r="F60" s="13"/>
      <c r="G60" s="13"/>
      <c r="H60" s="13"/>
      <c r="I60" s="14"/>
    </row>
    <row r="61" spans="2:9">
      <c r="B61" s="12" t="s">
        <v>379</v>
      </c>
      <c r="C61" s="13"/>
      <c r="D61" s="13"/>
      <c r="E61" s="13"/>
      <c r="F61" s="13"/>
      <c r="G61" s="13"/>
      <c r="H61" s="13"/>
      <c r="I61" s="14"/>
    </row>
    <row r="62" spans="2:9">
      <c r="B62" s="12" t="s">
        <v>380</v>
      </c>
      <c r="C62" s="13"/>
      <c r="D62" s="13"/>
      <c r="E62" s="13"/>
      <c r="F62" s="13"/>
      <c r="G62" s="13"/>
      <c r="H62" s="13"/>
      <c r="I62" s="14"/>
    </row>
    <row r="63" spans="2:9">
      <c r="B63" s="12" t="s">
        <v>381</v>
      </c>
      <c r="C63" s="13"/>
      <c r="D63" s="13"/>
      <c r="E63" s="13"/>
      <c r="F63" s="13"/>
      <c r="G63" s="13"/>
      <c r="H63" s="13"/>
      <c r="I63" s="14"/>
    </row>
    <row r="64" spans="2:9">
      <c r="B64" s="12" t="s">
        <v>382</v>
      </c>
      <c r="C64" s="13"/>
      <c r="D64" s="13"/>
      <c r="E64" s="13"/>
      <c r="F64" s="13"/>
      <c r="G64" s="13"/>
      <c r="H64" s="13"/>
      <c r="I64" s="14"/>
    </row>
    <row r="65" spans="2:9">
      <c r="B65" s="12"/>
      <c r="C65" s="13"/>
      <c r="D65" s="13"/>
      <c r="E65" s="13"/>
      <c r="F65" s="13"/>
      <c r="G65" s="13"/>
      <c r="H65" s="13"/>
      <c r="I65" s="14"/>
    </row>
    <row r="66" spans="2:9">
      <c r="B66" s="12" t="s">
        <v>383</v>
      </c>
      <c r="C66" s="13"/>
      <c r="D66" s="13"/>
      <c r="E66" s="13"/>
      <c r="F66" s="13"/>
      <c r="G66" s="13"/>
      <c r="H66" s="13"/>
      <c r="I66" s="14"/>
    </row>
    <row r="67" spans="2:9">
      <c r="B67" s="12" t="s">
        <v>384</v>
      </c>
      <c r="C67" s="13"/>
      <c r="D67" s="13"/>
      <c r="E67" s="13"/>
      <c r="F67" s="13"/>
      <c r="G67" s="13"/>
      <c r="H67" s="13"/>
      <c r="I67" s="14"/>
    </row>
    <row r="68" spans="2:9">
      <c r="B68" s="12" t="s">
        <v>385</v>
      </c>
      <c r="C68" s="13"/>
      <c r="D68" s="13"/>
      <c r="E68" s="13"/>
      <c r="F68" s="13"/>
      <c r="G68" s="13"/>
      <c r="H68" s="13"/>
      <c r="I68" s="14"/>
    </row>
    <row r="69" spans="2:9">
      <c r="B69" s="21" t="s">
        <v>386</v>
      </c>
      <c r="C69" s="22"/>
      <c r="D69" s="22"/>
      <c r="E69" s="22"/>
      <c r="F69" s="22"/>
      <c r="G69" s="22"/>
      <c r="H69" s="22"/>
      <c r="I69" s="23"/>
    </row>
    <row r="71" spans="2:9">
      <c r="B71" s="5" t="s">
        <v>387</v>
      </c>
    </row>
    <row r="72" spans="2:9">
      <c r="B72" s="15" t="s">
        <v>388</v>
      </c>
      <c r="C72" s="11"/>
      <c r="D72" s="11"/>
      <c r="E72" s="11"/>
      <c r="F72" s="11"/>
      <c r="G72" s="11"/>
      <c r="H72" s="11"/>
      <c r="I72" s="11"/>
    </row>
    <row r="73" spans="2:9">
      <c r="B73" s="15"/>
      <c r="C73" s="11"/>
      <c r="D73" s="11"/>
      <c r="E73" s="11"/>
      <c r="F73" s="11"/>
      <c r="G73" s="11"/>
      <c r="H73" s="11"/>
      <c r="I73" s="11"/>
    </row>
    <row r="74" spans="2:9">
      <c r="B74" s="15" t="s">
        <v>389</v>
      </c>
      <c r="C74" s="11"/>
      <c r="D74" s="11"/>
      <c r="E74" s="11"/>
      <c r="F74" s="11"/>
      <c r="G74" s="11"/>
      <c r="H74" s="11"/>
      <c r="I74" s="11"/>
    </row>
    <row r="75" spans="2:9">
      <c r="B75" s="15" t="s">
        <v>390</v>
      </c>
      <c r="C75" s="11"/>
      <c r="D75" s="11"/>
      <c r="E75" s="11"/>
      <c r="F75" s="11"/>
      <c r="G75" s="11"/>
      <c r="H75" s="11"/>
      <c r="I75" s="11"/>
    </row>
    <row r="76" spans="2:9">
      <c r="B76" s="15" t="s">
        <v>391</v>
      </c>
      <c r="C76" s="11"/>
      <c r="D76" s="11"/>
      <c r="E76" s="11"/>
      <c r="F76" s="11"/>
      <c r="G76" s="11"/>
      <c r="H76" s="11"/>
      <c r="I76" s="11"/>
    </row>
    <row r="77" spans="2:9">
      <c r="B77" s="15" t="s">
        <v>392</v>
      </c>
      <c r="C77" s="11"/>
      <c r="D77" s="11"/>
      <c r="E77" s="11"/>
      <c r="F77" s="11"/>
      <c r="G77" s="11"/>
      <c r="H77" s="11"/>
      <c r="I77" s="11"/>
    </row>
    <row r="78" spans="2:9">
      <c r="B78" s="15" t="s">
        <v>393</v>
      </c>
      <c r="C78" s="11"/>
      <c r="D78" s="11"/>
      <c r="E78" s="11"/>
      <c r="F78" s="11"/>
      <c r="G78" s="11"/>
      <c r="H78" s="11"/>
      <c r="I78" s="11"/>
    </row>
    <row r="79" spans="2:9">
      <c r="B79" s="15"/>
      <c r="C79" s="11"/>
      <c r="D79" s="11"/>
      <c r="E79" s="11"/>
      <c r="F79" s="11"/>
      <c r="G79" s="11"/>
      <c r="H79" s="11"/>
      <c r="I79" s="11"/>
    </row>
    <row r="80" spans="2:9">
      <c r="B80" s="15" t="s">
        <v>394</v>
      </c>
      <c r="C80" s="11"/>
      <c r="D80" s="11"/>
      <c r="E80" s="11"/>
      <c r="F80" s="11"/>
      <c r="G80" s="11"/>
      <c r="H80" s="11"/>
      <c r="I80" s="11"/>
    </row>
    <row r="81" spans="2:9">
      <c r="B81" s="15" t="s">
        <v>395</v>
      </c>
      <c r="C81" s="11"/>
      <c r="D81" s="11"/>
      <c r="E81" s="11"/>
      <c r="F81" s="11"/>
      <c r="G81" s="11"/>
      <c r="H81" s="11"/>
      <c r="I81" s="11"/>
    </row>
    <row r="82" spans="2:9">
      <c r="B82" s="15" t="s">
        <v>396</v>
      </c>
      <c r="C82" s="11"/>
      <c r="D82" s="11"/>
      <c r="E82" s="11"/>
      <c r="F82" s="11"/>
      <c r="G82" s="11"/>
      <c r="H82" s="11"/>
      <c r="I82" s="11"/>
    </row>
    <row r="83" spans="2:9">
      <c r="B83" s="15" t="s">
        <v>397</v>
      </c>
      <c r="C83" s="11"/>
      <c r="D83" s="11"/>
      <c r="E83" s="11"/>
      <c r="F83" s="11"/>
      <c r="G83" s="11"/>
      <c r="H83" s="11"/>
      <c r="I83" s="11"/>
    </row>
    <row r="84" spans="2:9">
      <c r="B84" s="15" t="s">
        <v>398</v>
      </c>
      <c r="C84" s="11"/>
      <c r="D84" s="11"/>
      <c r="E84" s="11"/>
      <c r="F84" s="11"/>
      <c r="G84" s="11"/>
      <c r="H84" s="11"/>
      <c r="I84" s="11"/>
    </row>
    <row r="85" spans="2:9">
      <c r="B85" s="10" t="s">
        <v>399</v>
      </c>
      <c r="C85" s="11"/>
      <c r="D85" s="11"/>
      <c r="E85" s="11"/>
      <c r="F85" s="11"/>
      <c r="G85" s="11"/>
      <c r="H85" s="11"/>
      <c r="I85" s="11"/>
    </row>
    <row r="86" spans="2:9">
      <c r="B86" s="15"/>
      <c r="C86" s="11"/>
      <c r="D86" s="11"/>
      <c r="E86" s="11"/>
      <c r="F86" s="11"/>
      <c r="G86" s="11"/>
      <c r="H86" s="11"/>
      <c r="I86" s="11"/>
    </row>
    <row r="87" spans="2:9">
      <c r="B87" s="15" t="s">
        <v>400</v>
      </c>
      <c r="C87" s="11"/>
      <c r="D87" s="11"/>
      <c r="E87" s="11"/>
      <c r="F87" s="11"/>
      <c r="G87" s="11"/>
      <c r="H87" s="11"/>
      <c r="I87" s="11"/>
    </row>
    <row r="88" spans="2:9">
      <c r="B88" s="15" t="s">
        <v>401</v>
      </c>
      <c r="C88" s="11"/>
      <c r="D88" s="11"/>
      <c r="E88" s="11"/>
      <c r="F88" s="11"/>
      <c r="G88" s="11"/>
      <c r="H88" s="11"/>
      <c r="I88" s="11"/>
    </row>
    <row r="89" spans="2:9">
      <c r="B89" s="15"/>
      <c r="C89" s="11"/>
      <c r="D89" s="11"/>
      <c r="E89" s="11"/>
      <c r="F89" s="11"/>
      <c r="G89" s="11"/>
      <c r="H89" s="11"/>
      <c r="I89" s="11"/>
    </row>
    <row r="90" spans="2:9">
      <c r="B90" s="10" t="s">
        <v>402</v>
      </c>
      <c r="C90" s="11"/>
      <c r="D90" s="11"/>
      <c r="E90" s="11"/>
      <c r="F90" s="11"/>
      <c r="G90" s="11"/>
      <c r="H90" s="11"/>
      <c r="I90" s="11"/>
    </row>
    <row r="91" spans="2:9">
      <c r="B91" s="15" t="s">
        <v>403</v>
      </c>
      <c r="C91" s="11"/>
      <c r="D91" s="11"/>
      <c r="E91" s="11"/>
      <c r="F91" s="11"/>
      <c r="G91" s="11"/>
      <c r="H91" s="11"/>
      <c r="I91" s="11"/>
    </row>
    <row r="92" spans="2:9">
      <c r="B92" s="15" t="s">
        <v>404</v>
      </c>
      <c r="C92" s="11"/>
      <c r="D92" s="11"/>
      <c r="E92" s="11"/>
      <c r="F92" s="11"/>
      <c r="G92" s="11"/>
      <c r="H92" s="11"/>
      <c r="I92" s="11"/>
    </row>
    <row r="93" spans="2:9">
      <c r="B93" s="15" t="s">
        <v>405</v>
      </c>
      <c r="C93" s="11"/>
      <c r="D93" s="11"/>
      <c r="E93" s="11"/>
      <c r="F93" s="11"/>
      <c r="G93" s="11"/>
      <c r="H93" s="11"/>
      <c r="I93" s="11"/>
    </row>
  </sheetData>
  <mergeCells count="73">
    <mergeCell ref="B5:I5"/>
    <mergeCell ref="B36:I36"/>
    <mergeCell ref="B76:I76"/>
    <mergeCell ref="B80:I80"/>
    <mergeCell ref="B45:I45"/>
    <mergeCell ref="B79:I79"/>
    <mergeCell ref="B35:I35"/>
    <mergeCell ref="B50:I50"/>
    <mergeCell ref="B26:I26"/>
    <mergeCell ref="B6:I6"/>
    <mergeCell ref="B24:I24"/>
    <mergeCell ref="B51:I51"/>
    <mergeCell ref="B20:I20"/>
    <mergeCell ref="B89:I89"/>
    <mergeCell ref="B92:I92"/>
    <mergeCell ref="B30:I30"/>
    <mergeCell ref="B68:I68"/>
    <mergeCell ref="B64:I64"/>
    <mergeCell ref="B15:I15"/>
    <mergeCell ref="B83:I83"/>
    <mergeCell ref="B55:I55"/>
    <mergeCell ref="B87:I87"/>
    <mergeCell ref="B38:I38"/>
    <mergeCell ref="B34:I34"/>
    <mergeCell ref="B10:I10"/>
    <mergeCell ref="B28:I28"/>
    <mergeCell ref="B19:I19"/>
    <mergeCell ref="B37:I37"/>
    <mergeCell ref="B49:I49"/>
    <mergeCell ref="B65:I65"/>
    <mergeCell ref="B84:I84"/>
    <mergeCell ref="B74:I74"/>
    <mergeCell ref="B93:I93"/>
    <mergeCell ref="B43:I43"/>
    <mergeCell ref="B18:I18"/>
    <mergeCell ref="B52:I52"/>
    <mergeCell ref="B86:I86"/>
    <mergeCell ref="B39:I39"/>
    <mergeCell ref="B77:I77"/>
    <mergeCell ref="B42:I42"/>
    <mergeCell ref="B60:I60"/>
    <mergeCell ref="B67:I67"/>
    <mergeCell ref="B61:I61"/>
    <mergeCell ref="B23:I23"/>
    <mergeCell ref="B73:I73"/>
    <mergeCell ref="B88:I88"/>
    <mergeCell ref="B44:I44"/>
    <mergeCell ref="B53:I53"/>
    <mergeCell ref="B91:I91"/>
    <mergeCell ref="B63:I63"/>
    <mergeCell ref="B54:I54"/>
    <mergeCell ref="B16:I16"/>
    <mergeCell ref="B81:I81"/>
    <mergeCell ref="B72:I72"/>
    <mergeCell ref="B90:I90"/>
    <mergeCell ref="B59:I59"/>
    <mergeCell ref="B66:I66"/>
    <mergeCell ref="B31:I31"/>
    <mergeCell ref="B27:I27"/>
    <mergeCell ref="B17:I17"/>
    <mergeCell ref="B78:I78"/>
    <mergeCell ref="B29:I29"/>
    <mergeCell ref="B82:I82"/>
    <mergeCell ref="B69:I69"/>
    <mergeCell ref="B85:I85"/>
    <mergeCell ref="B62:I62"/>
    <mergeCell ref="B75:I75"/>
    <mergeCell ref="B7:I7"/>
    <mergeCell ref="B25:I25"/>
    <mergeCell ref="B14:I14"/>
    <mergeCell ref="B8:I8"/>
    <mergeCell ref="B13:I13"/>
    <mergeCell ref="B9:I9"/>
  </mergeCells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모델 결과</vt:lpstr>
      <vt:lpstr>물리적 리스크</vt:lpstr>
      <vt:lpstr>전환 리스크</vt:lpstr>
      <vt:lpstr>재무 및 신용</vt:lpstr>
      <vt:lpstr>데이터 흐름도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Jinsu Park</cp:lastModifiedBy>
  <dcterms:created xsi:type="dcterms:W3CDTF">2026-05-04T08:38:31Z</dcterms:created>
  <dcterms:modified xsi:type="dcterms:W3CDTF">2026-05-04T11:18:34Z</dcterms:modified>
</cp:coreProperties>
</file>