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nsu/Documents/GitHub/climate_risk_premium/data/"/>
    </mc:Choice>
  </mc:AlternateContent>
  <xr:revisionPtr revIDLastSave="0" documentId="13_ncr:1_{604B6EC7-D169-D949-A911-0038AEE4E967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HazardData" sheetId="1" r:id="rId1"/>
    <sheet name="PlantFinance" sheetId="2" r:id="rId2"/>
    <sheet name="TransitionData" sheetId="3" r:id="rId3"/>
    <sheet name="CreditData" sheetId="4" r:id="rId4"/>
    <sheet name="Cal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5" l="1"/>
  <c r="C25" i="5"/>
  <c r="C24" i="5"/>
  <c r="C23" i="5"/>
  <c r="C22" i="5"/>
  <c r="C19" i="5"/>
  <c r="C39" i="5" s="1"/>
  <c r="C18" i="5"/>
  <c r="C17" i="5"/>
  <c r="C16" i="5"/>
  <c r="C34" i="5" s="1"/>
  <c r="C15" i="5"/>
  <c r="C14" i="5"/>
  <c r="C31" i="5" s="1"/>
  <c r="C13" i="5"/>
  <c r="C12" i="5"/>
  <c r="C11" i="5"/>
  <c r="C10" i="5"/>
  <c r="C27" i="5" s="1"/>
  <c r="C8" i="5"/>
  <c r="C7" i="5"/>
  <c r="C6" i="5"/>
  <c r="C5" i="5"/>
  <c r="C4" i="5"/>
  <c r="C28" i="5" l="1"/>
  <c r="C32" i="5"/>
  <c r="C30" i="5"/>
  <c r="C29" i="5" l="1"/>
  <c r="C35" i="5" s="1"/>
  <c r="C37" i="5" s="1"/>
  <c r="C38" i="5" s="1"/>
  <c r="C40" i="5" s="1"/>
</calcChain>
</file>

<file path=xl/sharedStrings.xml><?xml version="1.0" encoding="utf-8"?>
<sst xmlns="http://schemas.openxmlformats.org/spreadsheetml/2006/main" count="525" uniqueCount="300">
  <si>
    <t>Physical Risk Source Data</t>
  </si>
  <si>
    <t>Hazard Baselines</t>
  </si>
  <si>
    <t>hazard_type</t>
  </si>
  <si>
    <t>base_frequency</t>
  </si>
  <si>
    <t>base_intensity</t>
  </si>
  <si>
    <t>intensity_unit</t>
  </si>
  <si>
    <t>outage_rate</t>
  </si>
  <si>
    <t>capacity_derate</t>
  </si>
  <si>
    <t>efficiency_loss</t>
  </si>
  <si>
    <t>damage_ratio</t>
  </si>
  <si>
    <t>confidence_low</t>
  </si>
  <si>
    <t>confidence_high</t>
  </si>
  <si>
    <t>source</t>
  </si>
  <si>
    <t>methodology</t>
  </si>
  <si>
    <t>climada_events</t>
  </si>
  <si>
    <t>climada_years</t>
  </si>
  <si>
    <t>source_url</t>
  </si>
  <si>
    <t>wildfire</t>
  </si>
  <si>
    <t>FWI</t>
  </si>
  <si>
    <t>CLIMADA WildFire + Korea Forest Service FIRMS (2001-2023)</t>
  </si>
  <si>
    <t>Outage = Freq x P(outage) x Duration / 8760</t>
  </si>
  <si>
    <t>https://firms.modaps.eosdis.nasa.gov/</t>
  </si>
  <si>
    <t>tropical_cyclone</t>
  </si>
  <si>
    <t>m/s</t>
  </si>
  <si>
    <t>DISABLED (CLIMADA simulation not performed for site)</t>
  </si>
  <si>
    <t>Not verified for Samcheok</t>
  </si>
  <si>
    <t>river_flood</t>
  </si>
  <si>
    <t>m</t>
  </si>
  <si>
    <t>DISABLED (plant at 10m elevation)</t>
  </si>
  <si>
    <t>Plant not in flood zone</t>
  </si>
  <si>
    <t>coastal_flood</t>
  </si>
  <si>
    <t>Surge + SLR cannot reach</t>
  </si>
  <si>
    <t>drought</t>
  </si>
  <si>
    <t>SPI</t>
  </si>
  <si>
    <t>OS-Climate PhysRisk API (primary source; CSV fallback disabled)</t>
  </si>
  <si>
    <t>Use PhysRisk live results only</t>
  </si>
  <si>
    <t>https://physrisk.os-climate.org/</t>
  </si>
  <si>
    <t>heat_stress</t>
  </si>
  <si>
    <t>C</t>
  </si>
  <si>
    <t>DISABLED (source not validated for Samcheok)</t>
  </si>
  <si>
    <t>KMA data referenced but not verified</t>
  </si>
  <si>
    <t>sea_level_rise</t>
  </si>
  <si>
    <t>NASA/IPCC AR6 SLR projections</t>
  </si>
  <si>
    <t>Impact via coastal flood frequency</t>
  </si>
  <si>
    <t>Climate Factors</t>
  </si>
  <si>
    <t>scenario</t>
  </si>
  <si>
    <t>year</t>
  </si>
  <si>
    <t>slr_meters</t>
  </si>
  <si>
    <t>RCP4.5</t>
  </si>
  <si>
    <t>Baseline (current climate)</t>
  </si>
  <si>
    <t>IPCC AR6 WG1 Table 4.5 + KMA projections</t>
  </si>
  <si>
    <t>RCP8.5</t>
  </si>
  <si>
    <t>IPCC AR6 WG1 Table 4.8 + KMA + WWA</t>
  </si>
  <si>
    <t>SSP1-2.6</t>
  </si>
  <si>
    <t>IPCC AR6 WG1 Chapter 4</t>
  </si>
  <si>
    <t>SSP2-4.5</t>
  </si>
  <si>
    <t>SSP5-8.5</t>
  </si>
  <si>
    <t>Outage Parameters</t>
  </si>
  <si>
    <t>asset_type</t>
  </si>
  <si>
    <t>failure_rate_per_hour</t>
  </si>
  <si>
    <t>exposure_hours_low</t>
  </si>
  <si>
    <t>exposure_hours_mid</t>
  </si>
  <si>
    <t>exposure_hours_high</t>
  </si>
  <si>
    <t>outage_duration_hours</t>
  </si>
  <si>
    <t>source_lambda</t>
  </si>
  <si>
    <t>source_duration</t>
  </si>
  <si>
    <t>source_url_lambda</t>
  </si>
  <si>
    <t>source_url_duration</t>
  </si>
  <si>
    <t>transmission_tower</t>
  </si>
  <si>
    <t>Choobineh &amp; Mohagheghi (2015) Table 2 (steel tower 0.2-0.4 range; midpoint)</t>
  </si>
  <si>
    <t>KFS Forest Fire Statistics 1991-2004 large fire avg 18.5h; point transit sensitivity</t>
  </si>
  <si>
    <t>https://doi.org/10.1016/j.firesaf.2015.02.006</t>
  </si>
  <si>
    <t>https://www.kci.go.kr/kciportal/ci/sereArticleSearch/ciSereArtiView.kci?sereArticleSearchBean.artiId=ART001017472</t>
  </si>
  <si>
    <t>wooden_pole_line</t>
  </si>
  <si>
    <t>Choobineh &amp; Mohagheghi (2015) Table 2 (wooden pole 0.5-1.0 range; midpoint)</t>
  </si>
  <si>
    <t>KFS Forest Fire Statistics 1991-2004</t>
  </si>
  <si>
    <t>power_plant</t>
  </si>
  <si>
    <t>Choobineh &amp; Mohagheghi (2015) Table 2 (transformer/heavy equipment 0.2-0.4; lower bound)</t>
  </si>
  <si>
    <t>substation</t>
  </si>
  <si>
    <t>Choobineh &amp; Mohagheghi (2015) Table 2 (transformer class)</t>
  </si>
  <si>
    <t>Plant &amp; Financial Data</t>
  </si>
  <si>
    <t>Plant Parameters</t>
  </si>
  <si>
    <t>param_name</t>
  </si>
  <si>
    <t>value</t>
  </si>
  <si>
    <t>unit</t>
  </si>
  <si>
    <t>description</t>
  </si>
  <si>
    <t>capacity_mw</t>
  </si>
  <si>
    <t>MW</t>
  </si>
  <si>
    <t>Total capacity (2 units x 1050MW)</t>
  </si>
  <si>
    <t>capacity_factor</t>
  </si>
  <si>
    <t>decimal</t>
  </si>
  <si>
    <t>Base load capacity factor</t>
  </si>
  <si>
    <t>efficiency</t>
  </si>
  <si>
    <t>Supercritical efficiency (3.412/8.8)</t>
  </si>
  <si>
    <t>fuel_cost_per_mwh</t>
  </si>
  <si>
    <t>USD/MWh</t>
  </si>
  <si>
    <t>Approximate coal cost</t>
  </si>
  <si>
    <t>variable_opex</t>
  </si>
  <si>
    <t>Variable O&amp;M</t>
  </si>
  <si>
    <t>fixed_opex_per_kw</t>
  </si>
  <si>
    <t>USD/kW-yr</t>
  </si>
  <si>
    <t>Fixed O&amp;M</t>
  </si>
  <si>
    <t>variable_opex_per_mwh</t>
  </si>
  <si>
    <t>Variable O&amp;M per MWh (alternative)</t>
  </si>
  <si>
    <t>total_capex_million</t>
  </si>
  <si>
    <t>USD Million</t>
  </si>
  <si>
    <t>Total project cost (4.9T KRW at 1380 KRW/USD Feb 2026)</t>
  </si>
  <si>
    <t>construction_years</t>
  </si>
  <si>
    <t>years</t>
  </si>
  <si>
    <t>Construction duration</t>
  </si>
  <si>
    <t>debt_fraction</t>
  </si>
  <si>
    <t>Estimated debt financing share</t>
  </si>
  <si>
    <t>equity_fraction</t>
  </si>
  <si>
    <t>Estimated equity share</t>
  </si>
  <si>
    <t>debt_interest_rate</t>
  </si>
  <si>
    <t>Recent bond yield (6.1%)</t>
  </si>
  <si>
    <t>debt_schedule_file</t>
  </si>
  <si>
    <t>debt_repayment_schedule.csv</t>
  </si>
  <si>
    <t>filename</t>
  </si>
  <si>
    <t>Custom repayment profile</t>
  </si>
  <si>
    <t>debt_tenor_years</t>
  </si>
  <si>
    <t>Loan repayment period (fallback)</t>
  </si>
  <si>
    <t>risk_free_rate</t>
  </si>
  <si>
    <t>Korea 10Y Treasury</t>
  </si>
  <si>
    <t>market_risk_premium</t>
  </si>
  <si>
    <t>Korea Equity Risk Premium</t>
  </si>
  <si>
    <t>beta</t>
  </si>
  <si>
    <t>Utility sector beta (adjusted for coal risk)</t>
  </si>
  <si>
    <t>corporate_tax_rate</t>
  </si>
  <si>
    <t>Korea Corporate Tax Rate (25% effective Jan 2026)</t>
  </si>
  <si>
    <t>tax_rate</t>
  </si>
  <si>
    <t>Korea Corporate Tax Rate (alias)</t>
  </si>
  <si>
    <t>useful_life</t>
  </si>
  <si>
    <t>Economic life</t>
  </si>
  <si>
    <t>operating_years</t>
  </si>
  <si>
    <t>Total expected operating life</t>
  </si>
  <si>
    <t>depreciation_years</t>
  </si>
  <si>
    <t>Depreciation schedule</t>
  </si>
  <si>
    <t>inflation_rate</t>
  </si>
  <si>
    <t>Long-term inflation target</t>
  </si>
  <si>
    <t>power_price_per_mwh</t>
  </si>
  <si>
    <t>Wholesale electricity price</t>
  </si>
  <si>
    <t>heat_rate_mmbtu_mwh</t>
  </si>
  <si>
    <t>MMBtu/MWh</t>
  </si>
  <si>
    <t>Heat rate for supercritical coal plant</t>
  </si>
  <si>
    <t>fuel_price_per_mmbtu</t>
  </si>
  <si>
    <t>USD/MMBtu</t>
  </si>
  <si>
    <t>Coal fuel price</t>
  </si>
  <si>
    <t>emissions_tCO2_per_mwh</t>
  </si>
  <si>
    <t>tCO2/MWh</t>
  </si>
  <si>
    <t>Carbon emission intensity (SC coal at 8.8 heat rate)</t>
  </si>
  <si>
    <t>discount_rate</t>
  </si>
  <si>
    <t>Project discount rate for NPV</t>
  </si>
  <si>
    <t>Financing Parameters</t>
  </si>
  <si>
    <t>spread_slope_bps_per_pct</t>
  </si>
  <si>
    <t>bps/%</t>
  </si>
  <si>
    <t>Model assumption (reduced form credit model)</t>
  </si>
  <si>
    <t>equity_slope_pct_per_pct</t>
  </si>
  <si>
    <t>%/%</t>
  </si>
  <si>
    <t>Model assumption (equity risk premium)</t>
  </si>
  <si>
    <t>baseline_spread_bps</t>
  </si>
  <si>
    <t>bps</t>
  </si>
  <si>
    <t>Investment grade BBB baseline</t>
  </si>
  <si>
    <t>fraction</t>
  </si>
  <si>
    <t>Korea 10Y government bond yield 2024</t>
  </si>
  <si>
    <t>Typical project finance leverage</t>
  </si>
  <si>
    <t>Typical project finance equity</t>
  </si>
  <si>
    <t>baseline_equity_rate</t>
  </si>
  <si>
    <t>Korea coal project cost of equity estimate</t>
  </si>
  <si>
    <t>Transition Risk Data</t>
  </si>
  <si>
    <t>Transition Scenarios</t>
  </si>
  <si>
    <t>dispatch_penalty</t>
  </si>
  <si>
    <t>retirement_years</t>
  </si>
  <si>
    <t>baseline</t>
  </si>
  <si>
    <t>No policy intervention</t>
  </si>
  <si>
    <t>default</t>
  </si>
  <si>
    <t>moderate_transition</t>
  </si>
  <si>
    <t>Coal phase-out via 11th Basic Plan power mix targets</t>
  </si>
  <si>
    <t>11th Basic Plan (Draft 2025)</t>
  </si>
  <si>
    <t>https://www.motie.go.kr/motie/ms/nt/announce/bbs/bbsView.do?bbs_cd_n=6&amp;bbs_seq_n=68032</t>
  </si>
  <si>
    <t>aggressive_transition</t>
  </si>
  <si>
    <t>Accelerated coal exit aligned with 2040 carbon neutrality pledge</t>
  </si>
  <si>
    <t>Presidential pledge 2040</t>
  </si>
  <si>
    <t>https://www.reuters.com/business/energy/south-korea-unveils-plan-go-carbon-neutral-by-2050-2020-10-28/</t>
  </si>
  <si>
    <t>Coal Phase-out</t>
  </si>
  <si>
    <t>capacity_gw</t>
  </si>
  <si>
    <t>policy_reference</t>
  </si>
  <si>
    <t>11th Basic Plan baseline</t>
  </si>
  <si>
    <t>11th Basic Plan phase-down start</t>
  </si>
  <si>
    <t>11th Basic Plan target</t>
  </si>
  <si>
    <t>11th Basic Plan interpolation</t>
  </si>
  <si>
    <t>Presidential pledge 2040 탈석탄</t>
  </si>
  <si>
    <t>Nuclear Expansion</t>
  </si>
  <si>
    <t>phase</t>
  </si>
  <si>
    <t>cumulative_capacity_gw</t>
  </si>
  <si>
    <t>addition_gw</t>
  </si>
  <si>
    <t>unit_type</t>
  </si>
  <si>
    <t>existing</t>
  </si>
  <si>
    <t>large_unit</t>
  </si>
  <si>
    <t>11th Basic Plan - Shin Hanul 3</t>
  </si>
  <si>
    <t>11th Basic Plan - Shin Hanul 4</t>
  </si>
  <si>
    <t>smr</t>
  </si>
  <si>
    <t>11th Basic Plan - SMR deployment</t>
  </si>
  <si>
    <t>Renewable Targets</t>
  </si>
  <si>
    <t>solar_gw</t>
  </si>
  <si>
    <t>wind_gw</t>
  </si>
  <si>
    <t>hydro_gw</t>
  </si>
  <si>
    <t>grid_stability_gw</t>
  </si>
  <si>
    <t>battery_gw</t>
  </si>
  <si>
    <t>Credit Rating &amp; Spread Data</t>
  </si>
  <si>
    <t>Rating Thresholds</t>
  </si>
  <si>
    <t>metric</t>
  </si>
  <si>
    <t>threshold_min</t>
  </si>
  <si>
    <t>threshold_max</t>
  </si>
  <si>
    <t>rating</t>
  </si>
  <si>
    <t>AAA</t>
  </si>
  <si>
    <t>KIS credit methodology</t>
  </si>
  <si>
    <t>AA</t>
  </si>
  <si>
    <t>A</t>
  </si>
  <si>
    <t>BBB</t>
  </si>
  <si>
    <t>BB</t>
  </si>
  <si>
    <t>B</t>
  </si>
  <si>
    <t>ebitda_fixed_assets_pct</t>
  </si>
  <si>
    <t>KIS credit methodology (negative)</t>
  </si>
  <si>
    <t>CCC</t>
  </si>
  <si>
    <t>KIS credit methodology (distressed)</t>
  </si>
  <si>
    <t>CC</t>
  </si>
  <si>
    <t>KIS credit methodology (severe distress)</t>
  </si>
  <si>
    <t>coverage_ratio</t>
  </si>
  <si>
    <t>KIS credit methodology (near default)</t>
  </si>
  <si>
    <t>D</t>
  </si>
  <si>
    <t>KIS credit methodology (default)</t>
  </si>
  <si>
    <t>dscr</t>
  </si>
  <si>
    <t>Moody's Global Infrastructure Finance (2021)</t>
  </si>
  <si>
    <t>S&amp;P Project Finance Criteria (2022)</t>
  </si>
  <si>
    <t>Rating Spreads</t>
  </si>
  <si>
    <t>spread_bps</t>
  </si>
  <si>
    <t>Bloomberg US Corporate Bond Index 2020-2024 average</t>
  </si>
  <si>
    <t>Bloomberg US Corporate Bond Index 2020-2024 average (distressed)</t>
  </si>
  <si>
    <t>Distressed debt trading levels</t>
  </si>
  <si>
    <t>Distressed debt deep distress</t>
  </si>
  <si>
    <t>Default recovery value pricing</t>
  </si>
  <si>
    <t>CRP CALCULATION (all formulas reference other sheets)</t>
  </si>
  <si>
    <t>Input Parameter</t>
  </si>
  <si>
    <t>Value</t>
  </si>
  <si>
    <t>Unit</t>
  </si>
  <si>
    <t>P1</t>
  </si>
  <si>
    <t>wildfire_frequency</t>
  </si>
  <si>
    <t>events/yr</t>
  </si>
  <si>
    <t>P2</t>
  </si>
  <si>
    <t>climate_factor (RCP4.5 2050)</t>
  </si>
  <si>
    <t>multiplier</t>
  </si>
  <si>
    <t>P3</t>
  </si>
  <si>
    <t>lambda (power_plant)</t>
  </si>
  <si>
    <t>/hour</t>
  </si>
  <si>
    <t>P4</t>
  </si>
  <si>
    <t>exposure_time</t>
  </si>
  <si>
    <t>hours</t>
  </si>
  <si>
    <t>P5</t>
  </si>
  <si>
    <t>outage_duration</t>
  </si>
  <si>
    <t>F1</t>
  </si>
  <si>
    <t>F2</t>
  </si>
  <si>
    <t>F3</t>
  </si>
  <si>
    <t>power_price</t>
  </si>
  <si>
    <t>F4</t>
  </si>
  <si>
    <t>fuel_cost</t>
  </si>
  <si>
    <t>F5</t>
  </si>
  <si>
    <t>fixed_opex</t>
  </si>
  <si>
    <t>USD/kW/yr</t>
  </si>
  <si>
    <t>F6</t>
  </si>
  <si>
    <t>F7</t>
  </si>
  <si>
    <t>capex_total</t>
  </si>
  <si>
    <t>M USD</t>
  </si>
  <si>
    <t>F8</t>
  </si>
  <si>
    <t>F9</t>
  </si>
  <si>
    <t>interest_rate</t>
  </si>
  <si>
    <t>CR</t>
  </si>
  <si>
    <t>counterfactual_spread (AA)</t>
  </si>
  <si>
    <t>Calculation Step</t>
  </si>
  <si>
    <t>Result</t>
  </si>
  <si>
    <t>Scaled frequency</t>
  </si>
  <si>
    <t>P(outage|event)</t>
  </si>
  <si>
    <t>probability</t>
  </si>
  <si>
    <t>Outage rate</t>
  </si>
  <si>
    <t>Hours lost / year</t>
  </si>
  <si>
    <t>hours/yr</t>
  </si>
  <si>
    <t>Annual generation</t>
  </si>
  <si>
    <t>MWh/yr</t>
  </si>
  <si>
    <t>Gross revenue</t>
  </si>
  <si>
    <t>USD/yr</t>
  </si>
  <si>
    <t>Revenue after physical risk</t>
  </si>
  <si>
    <t>Fuel cost</t>
  </si>
  <si>
    <t>EBITDA</t>
  </si>
  <si>
    <t>Debt service (interest)</t>
  </si>
  <si>
    <t>DSCR</t>
  </si>
  <si>
    <t>ratio</t>
  </si>
  <si>
    <t>Credit Rating</t>
  </si>
  <si>
    <t>Credit Spread</t>
  </si>
  <si>
    <t>Counterfactual (AA)</t>
  </si>
  <si>
    <t>CRP (Climate Risk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</si>
</sst>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"/>
  </numFmts>
  <fonts count="5">
    <font>
      <sz val="11"/>
      <color theme="1"/>
      <name val="맑은 고딕"/>
      <family val="2"/>
      <scheme val="minor"/>
    </font>
    <font>
      <b/>
      <sz val="14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EF4"/>
      </patternFill>
    </fill>
    <fill>
      <patternFill patternType="solid">
        <fgColor rgb="FFE2EFDA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176" fontId="0" fillId="0" borderId="1" xfId="0" applyNumberFormat="1" applyBorder="1"/>
    <xf numFmtId="177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0" fontId="3" fillId="0" borderId="1" xfId="0" applyFont="1" applyBorder="1"/>
    <xf numFmtId="3" fontId="3" fillId="0" borderId="1" xfId="0" applyNumberFormat="1" applyFont="1" applyBorder="1"/>
    <xf numFmtId="2" fontId="3" fillId="0" borderId="1" xfId="0" applyNumberFormat="1" applyFont="1" applyBorder="1"/>
    <xf numFmtId="0" fontId="1" fillId="0" borderId="1" xfId="0" applyFont="1" applyBorder="1"/>
    <xf numFmtId="1" fontId="1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G17" sqref="G17"/>
    </sheetView>
  </sheetViews>
  <sheetFormatPr baseColWidth="10" defaultColWidth="8.83203125" defaultRowHeight="17"/>
  <cols>
    <col min="1" max="15" width="14" customWidth="1"/>
  </cols>
  <sheetData>
    <row r="1" spans="1:15" ht="20">
      <c r="A1" s="1" t="s">
        <v>0</v>
      </c>
    </row>
    <row r="3" spans="1:15">
      <c r="A3" s="2" t="s">
        <v>1</v>
      </c>
    </row>
    <row r="4" spans="1: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 t="s">
        <v>17</v>
      </c>
      <c r="B5" s="4">
        <v>0.75</v>
      </c>
      <c r="C5" s="4">
        <v>25</v>
      </c>
      <c r="D5" s="4" t="s">
        <v>18</v>
      </c>
      <c r="E5" s="4">
        <v>3.4E-5</v>
      </c>
      <c r="F5" s="4">
        <v>0</v>
      </c>
      <c r="G5" s="4">
        <v>0</v>
      </c>
      <c r="H5" s="4">
        <v>1E-4</v>
      </c>
      <c r="I5" s="4">
        <v>1.7E-5</v>
      </c>
      <c r="J5" s="4">
        <v>5.1E-5</v>
      </c>
      <c r="K5" s="4" t="s">
        <v>19</v>
      </c>
      <c r="L5" s="4" t="s">
        <v>20</v>
      </c>
      <c r="M5" s="4">
        <v>30</v>
      </c>
      <c r="N5" s="4">
        <v>40</v>
      </c>
      <c r="O5" s="4" t="s">
        <v>21</v>
      </c>
    </row>
    <row r="6" spans="1:15">
      <c r="A6" s="4" t="s">
        <v>22</v>
      </c>
      <c r="B6" s="4">
        <v>0</v>
      </c>
      <c r="C6" s="4">
        <v>0</v>
      </c>
      <c r="D6" s="4" t="s">
        <v>23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 t="s">
        <v>24</v>
      </c>
      <c r="L6" s="4" t="s">
        <v>25</v>
      </c>
      <c r="M6" s="4">
        <v>0</v>
      </c>
      <c r="N6" s="4">
        <v>0</v>
      </c>
      <c r="O6" s="4"/>
    </row>
    <row r="7" spans="1:15">
      <c r="A7" s="4" t="s">
        <v>26</v>
      </c>
      <c r="B7" s="4">
        <v>0</v>
      </c>
      <c r="C7" s="4">
        <v>0</v>
      </c>
      <c r="D7" s="4" t="s">
        <v>27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 t="s">
        <v>28</v>
      </c>
      <c r="L7" s="4" t="s">
        <v>29</v>
      </c>
      <c r="M7" s="4">
        <v>0</v>
      </c>
      <c r="N7" s="4">
        <v>0</v>
      </c>
      <c r="O7" s="4"/>
    </row>
    <row r="8" spans="1:15">
      <c r="A8" s="4" t="s">
        <v>30</v>
      </c>
      <c r="B8" s="4">
        <v>0</v>
      </c>
      <c r="C8" s="4">
        <v>0</v>
      </c>
      <c r="D8" s="4" t="s">
        <v>27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 t="s">
        <v>28</v>
      </c>
      <c r="L8" s="4" t="s">
        <v>31</v>
      </c>
      <c r="M8" s="4">
        <v>0</v>
      </c>
      <c r="N8" s="4">
        <v>0</v>
      </c>
      <c r="O8" s="4"/>
    </row>
    <row r="9" spans="1:15">
      <c r="A9" s="4" t="s">
        <v>32</v>
      </c>
      <c r="B9" s="4">
        <v>0</v>
      </c>
      <c r="C9" s="4">
        <v>0</v>
      </c>
      <c r="D9" s="4" t="s">
        <v>33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 t="s">
        <v>34</v>
      </c>
      <c r="L9" s="4" t="s">
        <v>35</v>
      </c>
      <c r="M9" s="4">
        <v>0</v>
      </c>
      <c r="N9" s="4">
        <v>0</v>
      </c>
      <c r="O9" s="4" t="s">
        <v>36</v>
      </c>
    </row>
    <row r="10" spans="1:15">
      <c r="A10" s="4" t="s">
        <v>37</v>
      </c>
      <c r="B10" s="4">
        <v>0</v>
      </c>
      <c r="C10" s="4">
        <v>0</v>
      </c>
      <c r="D10" s="4" t="s">
        <v>38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 t="s">
        <v>39</v>
      </c>
      <c r="L10" s="4" t="s">
        <v>40</v>
      </c>
      <c r="M10" s="4">
        <v>0</v>
      </c>
      <c r="N10" s="4">
        <v>0</v>
      </c>
      <c r="O10" s="4"/>
    </row>
    <row r="11" spans="1:15">
      <c r="A11" s="4" t="s">
        <v>41</v>
      </c>
      <c r="B11" s="4">
        <v>0</v>
      </c>
      <c r="C11" s="4">
        <v>0</v>
      </c>
      <c r="D11" s="4" t="s">
        <v>27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 t="s">
        <v>42</v>
      </c>
      <c r="L11" s="4" t="s">
        <v>43</v>
      </c>
      <c r="M11" s="4">
        <v>0</v>
      </c>
      <c r="N11" s="4">
        <v>0</v>
      </c>
      <c r="O11" s="4"/>
    </row>
    <row r="13" spans="1:15">
      <c r="A13" s="2" t="s">
        <v>44</v>
      </c>
    </row>
    <row r="14" spans="1:15">
      <c r="A14" s="3" t="s">
        <v>45</v>
      </c>
      <c r="B14" s="3" t="s">
        <v>46</v>
      </c>
      <c r="C14" s="3" t="s">
        <v>17</v>
      </c>
      <c r="D14" s="3" t="s">
        <v>22</v>
      </c>
      <c r="E14" s="3" t="s">
        <v>26</v>
      </c>
      <c r="F14" s="3" t="s">
        <v>30</v>
      </c>
      <c r="G14" s="3" t="s">
        <v>32</v>
      </c>
      <c r="H14" s="3" t="s">
        <v>37</v>
      </c>
      <c r="I14" s="3" t="s">
        <v>47</v>
      </c>
      <c r="J14" s="3" t="s">
        <v>12</v>
      </c>
    </row>
    <row r="15" spans="1:15">
      <c r="A15" s="4" t="s">
        <v>48</v>
      </c>
      <c r="B15" s="4">
        <v>2024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0</v>
      </c>
      <c r="J15" s="4" t="s">
        <v>49</v>
      </c>
    </row>
    <row r="16" spans="1:15">
      <c r="A16" s="4" t="s">
        <v>48</v>
      </c>
      <c r="B16" s="4">
        <v>2030</v>
      </c>
      <c r="C16" s="4">
        <v>1.1000000000000001</v>
      </c>
      <c r="D16" s="4">
        <v>1.02</v>
      </c>
      <c r="E16" s="4">
        <v>1.05</v>
      </c>
      <c r="F16" s="4">
        <v>1.1000000000000001</v>
      </c>
      <c r="G16" s="4">
        <v>1.08</v>
      </c>
      <c r="H16" s="4">
        <v>1.1499999999999999</v>
      </c>
      <c r="I16" s="4">
        <v>0.05</v>
      </c>
      <c r="J16" s="4" t="s">
        <v>50</v>
      </c>
    </row>
    <row r="17" spans="1:10">
      <c r="A17" s="4" t="s">
        <v>48</v>
      </c>
      <c r="B17" s="4">
        <v>2050</v>
      </c>
      <c r="C17" s="4">
        <v>1.3</v>
      </c>
      <c r="D17" s="4">
        <v>1.05</v>
      </c>
      <c r="E17" s="4">
        <v>1.1499999999999999</v>
      </c>
      <c r="F17" s="4">
        <v>1.25</v>
      </c>
      <c r="G17" s="4">
        <v>1.2</v>
      </c>
      <c r="H17" s="4">
        <v>1.5</v>
      </c>
      <c r="I17" s="4">
        <v>0.15</v>
      </c>
      <c r="J17" s="4" t="s">
        <v>50</v>
      </c>
    </row>
    <row r="18" spans="1:10">
      <c r="A18" s="4" t="s">
        <v>48</v>
      </c>
      <c r="B18" s="4">
        <v>2100</v>
      </c>
      <c r="C18" s="4">
        <v>1.5</v>
      </c>
      <c r="D18" s="4">
        <v>1.1000000000000001</v>
      </c>
      <c r="E18" s="4">
        <v>1.25</v>
      </c>
      <c r="F18" s="4">
        <v>1.5</v>
      </c>
      <c r="G18" s="4">
        <v>1.35</v>
      </c>
      <c r="H18" s="4">
        <v>2</v>
      </c>
      <c r="I18" s="4">
        <v>0.4</v>
      </c>
      <c r="J18" s="4" t="s">
        <v>50</v>
      </c>
    </row>
    <row r="19" spans="1:10">
      <c r="A19" s="4" t="s">
        <v>51</v>
      </c>
      <c r="B19" s="4">
        <v>2024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0</v>
      </c>
      <c r="J19" s="4" t="s">
        <v>49</v>
      </c>
    </row>
    <row r="20" spans="1:10">
      <c r="A20" s="4" t="s">
        <v>51</v>
      </c>
      <c r="B20" s="4">
        <v>2030</v>
      </c>
      <c r="C20" s="4">
        <v>1.1499999999999999</v>
      </c>
      <c r="D20" s="4">
        <v>1.03</v>
      </c>
      <c r="E20" s="4">
        <v>1.08</v>
      </c>
      <c r="F20" s="4">
        <v>1.1499999999999999</v>
      </c>
      <c r="G20" s="4">
        <v>1.1200000000000001</v>
      </c>
      <c r="H20" s="4">
        <v>1.2</v>
      </c>
      <c r="I20" s="4">
        <v>7.0000000000000007E-2</v>
      </c>
      <c r="J20" s="4" t="s">
        <v>52</v>
      </c>
    </row>
    <row r="21" spans="1:10">
      <c r="A21" s="4" t="s">
        <v>51</v>
      </c>
      <c r="B21" s="4">
        <v>2050</v>
      </c>
      <c r="C21" s="4">
        <v>2</v>
      </c>
      <c r="D21" s="4">
        <v>1.1000000000000001</v>
      </c>
      <c r="E21" s="4">
        <v>1.3</v>
      </c>
      <c r="F21" s="4">
        <v>1.5</v>
      </c>
      <c r="G21" s="4">
        <v>1.4</v>
      </c>
      <c r="H21" s="4">
        <v>2.5</v>
      </c>
      <c r="I21" s="4">
        <v>0.25</v>
      </c>
      <c r="J21" s="4" t="s">
        <v>52</v>
      </c>
    </row>
    <row r="22" spans="1:10">
      <c r="A22" s="4" t="s">
        <v>51</v>
      </c>
      <c r="B22" s="4">
        <v>2100</v>
      </c>
      <c r="C22" s="4">
        <v>4</v>
      </c>
      <c r="D22" s="4">
        <v>1.2</v>
      </c>
      <c r="E22" s="4">
        <v>1.5</v>
      </c>
      <c r="F22" s="4">
        <v>2.5</v>
      </c>
      <c r="G22" s="4">
        <v>1.8</v>
      </c>
      <c r="H22" s="4">
        <v>5</v>
      </c>
      <c r="I22" s="4">
        <v>0.8</v>
      </c>
      <c r="J22" s="4" t="s">
        <v>52</v>
      </c>
    </row>
    <row r="23" spans="1:10">
      <c r="A23" s="4" t="s">
        <v>53</v>
      </c>
      <c r="B23" s="4">
        <v>2024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0</v>
      </c>
      <c r="J23" s="4" t="s">
        <v>49</v>
      </c>
    </row>
    <row r="24" spans="1:10">
      <c r="A24" s="4" t="s">
        <v>53</v>
      </c>
      <c r="B24" s="4">
        <v>2030</v>
      </c>
      <c r="C24" s="4">
        <v>1.08</v>
      </c>
      <c r="D24" s="4">
        <v>1.01</v>
      </c>
      <c r="E24" s="4">
        <v>1.04</v>
      </c>
      <c r="F24" s="4">
        <v>1.08</v>
      </c>
      <c r="G24" s="4">
        <v>1.06</v>
      </c>
      <c r="H24" s="4">
        <v>1.1200000000000001</v>
      </c>
      <c r="I24" s="4">
        <v>0.04</v>
      </c>
      <c r="J24" s="4" t="s">
        <v>54</v>
      </c>
    </row>
    <row r="25" spans="1:10">
      <c r="A25" s="4" t="s">
        <v>53</v>
      </c>
      <c r="B25" s="4">
        <v>2050</v>
      </c>
      <c r="C25" s="4">
        <v>1.2</v>
      </c>
      <c r="D25" s="4">
        <v>1.03</v>
      </c>
      <c r="E25" s="4">
        <v>1.1000000000000001</v>
      </c>
      <c r="F25" s="4">
        <v>1.18</v>
      </c>
      <c r="G25" s="4">
        <v>1.1499999999999999</v>
      </c>
      <c r="H25" s="4">
        <v>1.35</v>
      </c>
      <c r="I25" s="4">
        <v>0.12</v>
      </c>
      <c r="J25" s="4" t="s">
        <v>54</v>
      </c>
    </row>
    <row r="26" spans="1:10">
      <c r="A26" s="4" t="s">
        <v>53</v>
      </c>
      <c r="B26" s="4">
        <v>2100</v>
      </c>
      <c r="C26" s="4">
        <v>1.3</v>
      </c>
      <c r="D26" s="4">
        <v>1.05</v>
      </c>
      <c r="E26" s="4">
        <v>1.1499999999999999</v>
      </c>
      <c r="F26" s="4">
        <v>1.3</v>
      </c>
      <c r="G26" s="4">
        <v>1.25</v>
      </c>
      <c r="H26" s="4">
        <v>1.5</v>
      </c>
      <c r="I26" s="4">
        <v>0.3</v>
      </c>
      <c r="J26" s="4" t="s">
        <v>54</v>
      </c>
    </row>
    <row r="27" spans="1:10">
      <c r="A27" s="4" t="s">
        <v>55</v>
      </c>
      <c r="B27" s="4">
        <v>2024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0</v>
      </c>
      <c r="J27" s="4" t="s">
        <v>49</v>
      </c>
    </row>
    <row r="28" spans="1:10">
      <c r="A28" s="4" t="s">
        <v>55</v>
      </c>
      <c r="B28" s="4">
        <v>2030</v>
      </c>
      <c r="C28" s="4">
        <v>1.1000000000000001</v>
      </c>
      <c r="D28" s="4">
        <v>1.02</v>
      </c>
      <c r="E28" s="4">
        <v>1.05</v>
      </c>
      <c r="F28" s="4">
        <v>1.1000000000000001</v>
      </c>
      <c r="G28" s="4">
        <v>1.08</v>
      </c>
      <c r="H28" s="4">
        <v>1.1499999999999999</v>
      </c>
      <c r="I28" s="4">
        <v>0.05</v>
      </c>
      <c r="J28" s="4" t="s">
        <v>54</v>
      </c>
    </row>
    <row r="29" spans="1:10">
      <c r="A29" s="4" t="s">
        <v>55</v>
      </c>
      <c r="B29" s="4">
        <v>2050</v>
      </c>
      <c r="C29" s="4">
        <v>1.35</v>
      </c>
      <c r="D29" s="4">
        <v>1.06</v>
      </c>
      <c r="E29" s="4">
        <v>1.18</v>
      </c>
      <c r="F29" s="4">
        <v>1.3</v>
      </c>
      <c r="G29" s="4">
        <v>1.22</v>
      </c>
      <c r="H29" s="4">
        <v>1.6</v>
      </c>
      <c r="I29" s="4">
        <v>0.18</v>
      </c>
      <c r="J29" s="4" t="s">
        <v>54</v>
      </c>
    </row>
    <row r="30" spans="1:10">
      <c r="A30" s="4" t="s">
        <v>55</v>
      </c>
      <c r="B30" s="4">
        <v>2100</v>
      </c>
      <c r="C30" s="4">
        <v>1.6</v>
      </c>
      <c r="D30" s="4">
        <v>1.1200000000000001</v>
      </c>
      <c r="E30" s="4">
        <v>1.3</v>
      </c>
      <c r="F30" s="4">
        <v>1.6</v>
      </c>
      <c r="G30" s="4">
        <v>1.4</v>
      </c>
      <c r="H30" s="4">
        <v>2.2000000000000002</v>
      </c>
      <c r="I30" s="4">
        <v>0.5</v>
      </c>
      <c r="J30" s="4" t="s">
        <v>54</v>
      </c>
    </row>
    <row r="31" spans="1:10">
      <c r="A31" s="4" t="s">
        <v>56</v>
      </c>
      <c r="B31" s="4">
        <v>2024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0</v>
      </c>
      <c r="J31" s="4" t="s">
        <v>49</v>
      </c>
    </row>
    <row r="32" spans="1:10">
      <c r="A32" s="4" t="s">
        <v>56</v>
      </c>
      <c r="B32" s="4">
        <v>2030</v>
      </c>
      <c r="C32" s="4">
        <v>1.1499999999999999</v>
      </c>
      <c r="D32" s="4">
        <v>1.03</v>
      </c>
      <c r="E32" s="4">
        <v>1.08</v>
      </c>
      <c r="F32" s="4">
        <v>1.1499999999999999</v>
      </c>
      <c r="G32" s="4">
        <v>1.1200000000000001</v>
      </c>
      <c r="H32" s="4">
        <v>1.2</v>
      </c>
      <c r="I32" s="4">
        <v>7.0000000000000007E-2</v>
      </c>
      <c r="J32" s="4" t="s">
        <v>54</v>
      </c>
    </row>
    <row r="33" spans="1:10">
      <c r="A33" s="4" t="s">
        <v>56</v>
      </c>
      <c r="B33" s="4">
        <v>2050</v>
      </c>
      <c r="C33" s="4">
        <v>2.1</v>
      </c>
      <c r="D33" s="4">
        <v>1.1200000000000001</v>
      </c>
      <c r="E33" s="4">
        <v>1.35</v>
      </c>
      <c r="F33" s="4">
        <v>1.55</v>
      </c>
      <c r="G33" s="4">
        <v>1.45</v>
      </c>
      <c r="H33" s="4">
        <v>2.6</v>
      </c>
      <c r="I33" s="4">
        <v>0.28000000000000003</v>
      </c>
      <c r="J33" s="4" t="s">
        <v>54</v>
      </c>
    </row>
    <row r="34" spans="1:10">
      <c r="A34" s="4" t="s">
        <v>56</v>
      </c>
      <c r="B34" s="4">
        <v>2100</v>
      </c>
      <c r="C34" s="4">
        <v>4.5</v>
      </c>
      <c r="D34" s="4">
        <v>1.25</v>
      </c>
      <c r="E34" s="4">
        <v>1.6</v>
      </c>
      <c r="F34" s="4">
        <v>2.8</v>
      </c>
      <c r="G34" s="4">
        <v>2</v>
      </c>
      <c r="H34" s="4">
        <v>5.5</v>
      </c>
      <c r="I34" s="4">
        <v>0.9</v>
      </c>
      <c r="J34" s="4" t="s">
        <v>54</v>
      </c>
    </row>
    <row r="36" spans="1:10">
      <c r="A36" s="2" t="s">
        <v>57</v>
      </c>
    </row>
    <row r="37" spans="1:10">
      <c r="A37" s="3" t="s">
        <v>58</v>
      </c>
      <c r="B37" s="3" t="s">
        <v>59</v>
      </c>
      <c r="C37" s="3" t="s">
        <v>60</v>
      </c>
      <c r="D37" s="3" t="s">
        <v>61</v>
      </c>
      <c r="E37" s="3" t="s">
        <v>62</v>
      </c>
      <c r="F37" s="3" t="s">
        <v>63</v>
      </c>
      <c r="G37" s="3" t="s">
        <v>64</v>
      </c>
      <c r="H37" s="3" t="s">
        <v>65</v>
      </c>
      <c r="I37" s="3" t="s">
        <v>66</v>
      </c>
      <c r="J37" s="3" t="s">
        <v>67</v>
      </c>
    </row>
    <row r="38" spans="1:10">
      <c r="A38" s="4" t="s">
        <v>68</v>
      </c>
      <c r="B38" s="4">
        <v>0.3</v>
      </c>
      <c r="C38" s="4">
        <v>1</v>
      </c>
      <c r="D38" s="4">
        <v>2</v>
      </c>
      <c r="E38" s="4">
        <v>4</v>
      </c>
      <c r="F38" s="4">
        <v>24</v>
      </c>
      <c r="G38" s="4" t="s">
        <v>69</v>
      </c>
      <c r="H38" s="4" t="s">
        <v>70</v>
      </c>
      <c r="I38" s="4" t="s">
        <v>71</v>
      </c>
      <c r="J38" s="4" t="s">
        <v>72</v>
      </c>
    </row>
    <row r="39" spans="1:10">
      <c r="A39" s="4" t="s">
        <v>73</v>
      </c>
      <c r="B39" s="4">
        <v>0.7</v>
      </c>
      <c r="C39" s="4">
        <v>1</v>
      </c>
      <c r="D39" s="4">
        <v>2</v>
      </c>
      <c r="E39" s="4">
        <v>4</v>
      </c>
      <c r="F39" s="4">
        <v>24</v>
      </c>
      <c r="G39" s="4" t="s">
        <v>74</v>
      </c>
      <c r="H39" s="4" t="s">
        <v>75</v>
      </c>
      <c r="I39" s="4" t="s">
        <v>71</v>
      </c>
      <c r="J39" s="4" t="s">
        <v>72</v>
      </c>
    </row>
    <row r="40" spans="1:10">
      <c r="A40" s="4" t="s">
        <v>76</v>
      </c>
      <c r="B40" s="4">
        <v>0.2</v>
      </c>
      <c r="C40" s="4">
        <v>1</v>
      </c>
      <c r="D40" s="4">
        <v>2</v>
      </c>
      <c r="E40" s="4">
        <v>4</v>
      </c>
      <c r="F40" s="4">
        <v>48</v>
      </c>
      <c r="G40" s="4" t="s">
        <v>77</v>
      </c>
      <c r="H40" s="4" t="s">
        <v>75</v>
      </c>
      <c r="I40" s="4" t="s">
        <v>71</v>
      </c>
      <c r="J40" s="4" t="s">
        <v>72</v>
      </c>
    </row>
    <row r="41" spans="1:10">
      <c r="A41" s="4" t="s">
        <v>78</v>
      </c>
      <c r="B41" s="4">
        <v>0.3</v>
      </c>
      <c r="C41" s="4">
        <v>1</v>
      </c>
      <c r="D41" s="4">
        <v>2</v>
      </c>
      <c r="E41" s="4">
        <v>4</v>
      </c>
      <c r="F41" s="4">
        <v>36</v>
      </c>
      <c r="G41" s="4" t="s">
        <v>79</v>
      </c>
      <c r="H41" s="4" t="s">
        <v>75</v>
      </c>
      <c r="I41" s="4" t="s">
        <v>71</v>
      </c>
      <c r="J41" s="4" t="s">
        <v>72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topLeftCell="A5" workbookViewId="0"/>
  </sheetViews>
  <sheetFormatPr baseColWidth="10" defaultColWidth="8.83203125" defaultRowHeight="17"/>
  <cols>
    <col min="1" max="7" width="20" customWidth="1"/>
  </cols>
  <sheetData>
    <row r="1" spans="1:4" ht="20">
      <c r="A1" s="1" t="s">
        <v>80</v>
      </c>
    </row>
    <row r="3" spans="1:4">
      <c r="A3" s="5" t="s">
        <v>81</v>
      </c>
    </row>
    <row r="4" spans="1:4">
      <c r="A4" s="6" t="s">
        <v>82</v>
      </c>
      <c r="B4" s="6" t="s">
        <v>83</v>
      </c>
      <c r="C4" s="6" t="s">
        <v>84</v>
      </c>
      <c r="D4" s="6" t="s">
        <v>85</v>
      </c>
    </row>
    <row r="5" spans="1:4">
      <c r="A5" s="4" t="s">
        <v>86</v>
      </c>
      <c r="B5" s="4">
        <v>2100</v>
      </c>
      <c r="C5" s="4" t="s">
        <v>87</v>
      </c>
      <c r="D5" s="4" t="s">
        <v>88</v>
      </c>
    </row>
    <row r="6" spans="1:4">
      <c r="A6" s="4" t="s">
        <v>89</v>
      </c>
      <c r="B6" s="4">
        <v>0.6</v>
      </c>
      <c r="C6" s="4" t="s">
        <v>90</v>
      </c>
      <c r="D6" s="4" t="s">
        <v>91</v>
      </c>
    </row>
    <row r="7" spans="1:4">
      <c r="A7" s="4" t="s">
        <v>92</v>
      </c>
      <c r="B7" s="4">
        <v>0.39</v>
      </c>
      <c r="C7" s="4" t="s">
        <v>90</v>
      </c>
      <c r="D7" s="4" t="s">
        <v>93</v>
      </c>
    </row>
    <row r="8" spans="1:4">
      <c r="A8" s="4" t="s">
        <v>94</v>
      </c>
      <c r="B8" s="4">
        <v>45</v>
      </c>
      <c r="C8" s="4" t="s">
        <v>95</v>
      </c>
      <c r="D8" s="4" t="s">
        <v>96</v>
      </c>
    </row>
    <row r="9" spans="1:4">
      <c r="A9" s="4" t="s">
        <v>97</v>
      </c>
      <c r="B9" s="4">
        <v>5</v>
      </c>
      <c r="C9" s="4" t="s">
        <v>95</v>
      </c>
      <c r="D9" s="4" t="s">
        <v>98</v>
      </c>
    </row>
    <row r="10" spans="1:4">
      <c r="A10" s="4" t="s">
        <v>99</v>
      </c>
      <c r="B10" s="4">
        <v>35</v>
      </c>
      <c r="C10" s="4" t="s">
        <v>100</v>
      </c>
      <c r="D10" s="4" t="s">
        <v>101</v>
      </c>
    </row>
    <row r="11" spans="1:4">
      <c r="A11" s="4" t="s">
        <v>102</v>
      </c>
      <c r="B11" s="4">
        <v>4.5</v>
      </c>
      <c r="C11" s="4" t="s">
        <v>95</v>
      </c>
      <c r="D11" s="4" t="s">
        <v>103</v>
      </c>
    </row>
    <row r="12" spans="1:4">
      <c r="A12" s="4" t="s">
        <v>104</v>
      </c>
      <c r="B12" s="4">
        <v>3550</v>
      </c>
      <c r="C12" s="4" t="s">
        <v>105</v>
      </c>
      <c r="D12" s="4" t="s">
        <v>106</v>
      </c>
    </row>
    <row r="13" spans="1:4">
      <c r="A13" s="4" t="s">
        <v>107</v>
      </c>
      <c r="B13" s="4">
        <v>5</v>
      </c>
      <c r="C13" s="4" t="s">
        <v>108</v>
      </c>
      <c r="D13" s="4" t="s">
        <v>109</v>
      </c>
    </row>
    <row r="14" spans="1:4">
      <c r="A14" s="4" t="s">
        <v>110</v>
      </c>
      <c r="B14" s="4">
        <v>0.8</v>
      </c>
      <c r="C14" s="4" t="s">
        <v>90</v>
      </c>
      <c r="D14" s="4" t="s">
        <v>111</v>
      </c>
    </row>
    <row r="15" spans="1:4">
      <c r="A15" s="4" t="s">
        <v>112</v>
      </c>
      <c r="B15" s="4">
        <v>0.2</v>
      </c>
      <c r="C15" s="4" t="s">
        <v>90</v>
      </c>
      <c r="D15" s="4" t="s">
        <v>113</v>
      </c>
    </row>
    <row r="16" spans="1:4">
      <c r="A16" s="4" t="s">
        <v>114</v>
      </c>
      <c r="B16" s="4">
        <v>0.05</v>
      </c>
      <c r="C16" s="4" t="s">
        <v>90</v>
      </c>
      <c r="D16" s="4" t="s">
        <v>115</v>
      </c>
    </row>
    <row r="17" spans="1:4">
      <c r="A17" s="4" t="s">
        <v>116</v>
      </c>
      <c r="B17" s="4" t="s">
        <v>117</v>
      </c>
      <c r="C17" s="4" t="s">
        <v>118</v>
      </c>
      <c r="D17" s="4" t="s">
        <v>119</v>
      </c>
    </row>
    <row r="18" spans="1:4">
      <c r="A18" s="4" t="s">
        <v>120</v>
      </c>
      <c r="B18" s="4">
        <v>20</v>
      </c>
      <c r="C18" s="4" t="s">
        <v>108</v>
      </c>
      <c r="D18" s="4" t="s">
        <v>121</v>
      </c>
    </row>
    <row r="19" spans="1:4">
      <c r="A19" s="4" t="s">
        <v>122</v>
      </c>
      <c r="B19" s="4">
        <v>3.5000000000000003E-2</v>
      </c>
      <c r="C19" s="4" t="s">
        <v>90</v>
      </c>
      <c r="D19" s="4" t="s">
        <v>123</v>
      </c>
    </row>
    <row r="20" spans="1:4">
      <c r="A20" s="4" t="s">
        <v>124</v>
      </c>
      <c r="B20" s="4">
        <v>0.06</v>
      </c>
      <c r="C20" s="4" t="s">
        <v>90</v>
      </c>
      <c r="D20" s="4" t="s">
        <v>125</v>
      </c>
    </row>
    <row r="21" spans="1:4">
      <c r="A21" s="4" t="s">
        <v>126</v>
      </c>
      <c r="B21" s="4">
        <v>1.2</v>
      </c>
      <c r="C21" s="4" t="s">
        <v>90</v>
      </c>
      <c r="D21" s="4" t="s">
        <v>127</v>
      </c>
    </row>
    <row r="22" spans="1:4">
      <c r="A22" s="4" t="s">
        <v>128</v>
      </c>
      <c r="B22" s="4">
        <v>0.25</v>
      </c>
      <c r="C22" s="4" t="s">
        <v>90</v>
      </c>
      <c r="D22" s="4" t="s">
        <v>129</v>
      </c>
    </row>
    <row r="23" spans="1:4">
      <c r="A23" s="4" t="s">
        <v>130</v>
      </c>
      <c r="B23" s="4">
        <v>0.25</v>
      </c>
      <c r="C23" s="4" t="s">
        <v>90</v>
      </c>
      <c r="D23" s="4" t="s">
        <v>131</v>
      </c>
    </row>
    <row r="24" spans="1:4">
      <c r="A24" s="4" t="s">
        <v>132</v>
      </c>
      <c r="B24" s="4">
        <v>30</v>
      </c>
      <c r="C24" s="4" t="s">
        <v>108</v>
      </c>
      <c r="D24" s="4" t="s">
        <v>133</v>
      </c>
    </row>
    <row r="25" spans="1:4">
      <c r="A25" s="4" t="s">
        <v>134</v>
      </c>
      <c r="B25" s="4">
        <v>40</v>
      </c>
      <c r="C25" s="4" t="s">
        <v>108</v>
      </c>
      <c r="D25" s="4" t="s">
        <v>135</v>
      </c>
    </row>
    <row r="26" spans="1:4">
      <c r="A26" s="4" t="s">
        <v>136</v>
      </c>
      <c r="B26" s="4">
        <v>20</v>
      </c>
      <c r="C26" s="4" t="s">
        <v>108</v>
      </c>
      <c r="D26" s="4" t="s">
        <v>137</v>
      </c>
    </row>
    <row r="27" spans="1:4">
      <c r="A27" s="4" t="s">
        <v>138</v>
      </c>
      <c r="B27" s="4">
        <v>0.02</v>
      </c>
      <c r="C27" s="4" t="s">
        <v>90</v>
      </c>
      <c r="D27" s="4" t="s">
        <v>139</v>
      </c>
    </row>
    <row r="28" spans="1:4">
      <c r="A28" s="4" t="s">
        <v>140</v>
      </c>
      <c r="B28" s="4">
        <v>80</v>
      </c>
      <c r="C28" s="4" t="s">
        <v>95</v>
      </c>
      <c r="D28" s="4" t="s">
        <v>141</v>
      </c>
    </row>
    <row r="29" spans="1:4">
      <c r="A29" s="4" t="s">
        <v>142</v>
      </c>
      <c r="B29" s="4">
        <v>8.8000000000000007</v>
      </c>
      <c r="C29" s="4" t="s">
        <v>143</v>
      </c>
      <c r="D29" s="4" t="s">
        <v>144</v>
      </c>
    </row>
    <row r="30" spans="1:4">
      <c r="A30" s="4" t="s">
        <v>145</v>
      </c>
      <c r="B30" s="4">
        <v>5.74</v>
      </c>
      <c r="C30" s="4" t="s">
        <v>146</v>
      </c>
      <c r="D30" s="4" t="s">
        <v>147</v>
      </c>
    </row>
    <row r="31" spans="1:4">
      <c r="A31" s="4" t="s">
        <v>148</v>
      </c>
      <c r="B31" s="4">
        <v>0.82</v>
      </c>
      <c r="C31" s="4" t="s">
        <v>149</v>
      </c>
      <c r="D31" s="4" t="s">
        <v>150</v>
      </c>
    </row>
    <row r="32" spans="1:4">
      <c r="A32" s="4" t="s">
        <v>151</v>
      </c>
      <c r="B32" s="4">
        <v>0.08</v>
      </c>
      <c r="C32" s="4" t="s">
        <v>90</v>
      </c>
      <c r="D32" s="4" t="s">
        <v>152</v>
      </c>
    </row>
    <row r="34" spans="1:4">
      <c r="A34" s="5" t="s">
        <v>153</v>
      </c>
    </row>
    <row r="35" spans="1:4">
      <c r="A35" s="6" t="s">
        <v>82</v>
      </c>
      <c r="B35" s="6" t="s">
        <v>83</v>
      </c>
      <c r="C35" s="6" t="s">
        <v>84</v>
      </c>
      <c r="D35" s="6" t="s">
        <v>12</v>
      </c>
    </row>
    <row r="36" spans="1:4">
      <c r="A36" s="4" t="s">
        <v>154</v>
      </c>
      <c r="B36" s="4">
        <v>50</v>
      </c>
      <c r="C36" s="4" t="s">
        <v>155</v>
      </c>
      <c r="D36" s="4" t="s">
        <v>156</v>
      </c>
    </row>
    <row r="37" spans="1:4">
      <c r="A37" s="4" t="s">
        <v>157</v>
      </c>
      <c r="B37" s="4">
        <v>0.8</v>
      </c>
      <c r="C37" s="4" t="s">
        <v>158</v>
      </c>
      <c r="D37" s="4" t="s">
        <v>159</v>
      </c>
    </row>
    <row r="38" spans="1:4">
      <c r="A38" s="4" t="s">
        <v>160</v>
      </c>
      <c r="B38" s="4">
        <v>150</v>
      </c>
      <c r="C38" s="4" t="s">
        <v>161</v>
      </c>
      <c r="D38" s="4" t="s">
        <v>162</v>
      </c>
    </row>
    <row r="39" spans="1:4">
      <c r="A39" s="4" t="s">
        <v>122</v>
      </c>
      <c r="B39" s="4">
        <v>0.03</v>
      </c>
      <c r="C39" s="4" t="s">
        <v>163</v>
      </c>
      <c r="D39" s="4" t="s">
        <v>164</v>
      </c>
    </row>
    <row r="40" spans="1:4">
      <c r="A40" s="4" t="s">
        <v>110</v>
      </c>
      <c r="B40" s="4">
        <v>0.7</v>
      </c>
      <c r="C40" s="4" t="s">
        <v>163</v>
      </c>
      <c r="D40" s="4" t="s">
        <v>165</v>
      </c>
    </row>
    <row r="41" spans="1:4">
      <c r="A41" s="4" t="s">
        <v>112</v>
      </c>
      <c r="B41" s="4">
        <v>0.3</v>
      </c>
      <c r="C41" s="4" t="s">
        <v>163</v>
      </c>
      <c r="D41" s="4" t="s">
        <v>166</v>
      </c>
    </row>
    <row r="42" spans="1:4">
      <c r="A42" s="4" t="s">
        <v>167</v>
      </c>
      <c r="B42" s="4">
        <v>0.12</v>
      </c>
      <c r="C42" s="4" t="s">
        <v>163</v>
      </c>
      <c r="D42" s="4" t="s">
        <v>168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/>
  </sheetViews>
  <sheetFormatPr baseColWidth="10" defaultColWidth="8.83203125" defaultRowHeight="17"/>
  <cols>
    <col min="1" max="9" width="16" customWidth="1"/>
  </cols>
  <sheetData>
    <row r="1" spans="1:6" ht="20">
      <c r="A1" s="1" t="s">
        <v>169</v>
      </c>
    </row>
    <row r="3" spans="1:6">
      <c r="A3" s="7" t="s">
        <v>170</v>
      </c>
    </row>
    <row r="4" spans="1:6">
      <c r="A4" s="8" t="s">
        <v>45</v>
      </c>
      <c r="B4" s="8" t="s">
        <v>171</v>
      </c>
      <c r="C4" s="8" t="s">
        <v>172</v>
      </c>
      <c r="D4" s="8" t="s">
        <v>85</v>
      </c>
      <c r="E4" s="8" t="s">
        <v>12</v>
      </c>
      <c r="F4" s="8" t="s">
        <v>16</v>
      </c>
    </row>
    <row r="5" spans="1:6">
      <c r="A5" s="4" t="s">
        <v>173</v>
      </c>
      <c r="B5" s="4">
        <v>0</v>
      </c>
      <c r="C5" s="4">
        <v>40</v>
      </c>
      <c r="D5" s="4" t="s">
        <v>174</v>
      </c>
      <c r="E5" s="4" t="s">
        <v>175</v>
      </c>
      <c r="F5" s="4"/>
    </row>
    <row r="6" spans="1:6">
      <c r="A6" s="4" t="s">
        <v>176</v>
      </c>
      <c r="B6" s="4">
        <v>0</v>
      </c>
      <c r="C6" s="4">
        <v>35</v>
      </c>
      <c r="D6" s="4" t="s">
        <v>177</v>
      </c>
      <c r="E6" s="4" t="s">
        <v>178</v>
      </c>
      <c r="F6" s="4" t="s">
        <v>179</v>
      </c>
    </row>
    <row r="7" spans="1:6">
      <c r="A7" s="4" t="s">
        <v>180</v>
      </c>
      <c r="B7" s="4">
        <v>0</v>
      </c>
      <c r="C7" s="4">
        <v>25</v>
      </c>
      <c r="D7" s="4" t="s">
        <v>181</v>
      </c>
      <c r="E7" s="4" t="s">
        <v>182</v>
      </c>
      <c r="F7" s="4" t="s">
        <v>183</v>
      </c>
    </row>
    <row r="9" spans="1:6">
      <c r="A9" s="7" t="s">
        <v>184</v>
      </c>
    </row>
    <row r="10" spans="1:6">
      <c r="A10" s="8" t="s">
        <v>46</v>
      </c>
      <c r="B10" s="8" t="s">
        <v>185</v>
      </c>
      <c r="C10" s="8" t="s">
        <v>89</v>
      </c>
      <c r="D10" s="8" t="s">
        <v>186</v>
      </c>
    </row>
    <row r="11" spans="1:6">
      <c r="A11" s="4">
        <v>2024</v>
      </c>
      <c r="B11" s="4">
        <v>26.7</v>
      </c>
      <c r="C11" s="4">
        <v>0.65</v>
      </c>
      <c r="D11" s="4" t="s">
        <v>187</v>
      </c>
    </row>
    <row r="12" spans="1:6">
      <c r="A12" s="4">
        <v>2025</v>
      </c>
      <c r="B12" s="4">
        <v>25</v>
      </c>
      <c r="C12" s="4">
        <v>0.6</v>
      </c>
      <c r="D12" s="4" t="s">
        <v>188</v>
      </c>
    </row>
    <row r="13" spans="1:6">
      <c r="A13" s="4">
        <v>2030</v>
      </c>
      <c r="B13" s="4">
        <v>18</v>
      </c>
      <c r="C13" s="4">
        <v>0.45</v>
      </c>
      <c r="D13" s="4" t="s">
        <v>189</v>
      </c>
    </row>
    <row r="14" spans="1:6">
      <c r="A14" s="4">
        <v>2035</v>
      </c>
      <c r="B14" s="4">
        <v>14</v>
      </c>
      <c r="C14" s="4">
        <v>0.3</v>
      </c>
      <c r="D14" s="4" t="s">
        <v>190</v>
      </c>
    </row>
    <row r="15" spans="1:6">
      <c r="A15" s="4">
        <v>2038</v>
      </c>
      <c r="B15" s="4">
        <v>12.5</v>
      </c>
      <c r="C15" s="4">
        <v>0.2</v>
      </c>
      <c r="D15" s="4" t="s">
        <v>189</v>
      </c>
    </row>
    <row r="16" spans="1:6">
      <c r="A16" s="4">
        <v>2040</v>
      </c>
      <c r="B16" s="4">
        <v>0</v>
      </c>
      <c r="C16" s="4">
        <v>0</v>
      </c>
      <c r="D16" s="4" t="s">
        <v>191</v>
      </c>
    </row>
    <row r="18" spans="1:7">
      <c r="A18" s="7" t="s">
        <v>192</v>
      </c>
    </row>
    <row r="19" spans="1:7">
      <c r="A19" s="8" t="s">
        <v>193</v>
      </c>
      <c r="B19" s="8" t="s">
        <v>46</v>
      </c>
      <c r="C19" s="8" t="s">
        <v>194</v>
      </c>
      <c r="D19" s="8" t="s">
        <v>195</v>
      </c>
      <c r="E19" s="8" t="s">
        <v>196</v>
      </c>
      <c r="F19" s="8" t="s">
        <v>12</v>
      </c>
    </row>
    <row r="20" spans="1:7">
      <c r="A20" s="4">
        <v>0</v>
      </c>
      <c r="B20" s="4">
        <v>2024</v>
      </c>
      <c r="C20" s="4">
        <v>24.7</v>
      </c>
      <c r="D20" s="4">
        <v>0</v>
      </c>
      <c r="E20" s="4" t="s">
        <v>197</v>
      </c>
      <c r="F20" s="4" t="s">
        <v>187</v>
      </c>
    </row>
    <row r="21" spans="1:7">
      <c r="A21" s="4">
        <v>1</v>
      </c>
      <c r="B21" s="4">
        <v>2028</v>
      </c>
      <c r="C21" s="4">
        <v>25.7</v>
      </c>
      <c r="D21" s="4">
        <v>1</v>
      </c>
      <c r="E21" s="4" t="s">
        <v>198</v>
      </c>
      <c r="F21" s="4" t="s">
        <v>199</v>
      </c>
    </row>
    <row r="22" spans="1:7">
      <c r="A22" s="4">
        <v>2</v>
      </c>
      <c r="B22" s="4">
        <v>2032</v>
      </c>
      <c r="C22" s="4">
        <v>28.1</v>
      </c>
      <c r="D22" s="4">
        <v>2.4</v>
      </c>
      <c r="E22" s="4" t="s">
        <v>198</v>
      </c>
      <c r="F22" s="4" t="s">
        <v>200</v>
      </c>
    </row>
    <row r="23" spans="1:7">
      <c r="A23" s="4">
        <v>3</v>
      </c>
      <c r="B23" s="4">
        <v>2035</v>
      </c>
      <c r="C23" s="4">
        <v>30.1</v>
      </c>
      <c r="D23" s="4">
        <v>2</v>
      </c>
      <c r="E23" s="4" t="s">
        <v>201</v>
      </c>
      <c r="F23" s="4" t="s">
        <v>202</v>
      </c>
    </row>
    <row r="25" spans="1:7">
      <c r="A25" s="7" t="s">
        <v>203</v>
      </c>
    </row>
    <row r="26" spans="1:7">
      <c r="A26" s="8" t="s">
        <v>46</v>
      </c>
      <c r="B26" s="8" t="s">
        <v>204</v>
      </c>
      <c r="C26" s="8" t="s">
        <v>205</v>
      </c>
      <c r="D26" s="8" t="s">
        <v>206</v>
      </c>
      <c r="E26" s="8" t="s">
        <v>207</v>
      </c>
      <c r="F26" s="8" t="s">
        <v>208</v>
      </c>
      <c r="G26" s="8" t="s">
        <v>12</v>
      </c>
    </row>
    <row r="27" spans="1:7">
      <c r="A27" s="4">
        <v>2024</v>
      </c>
      <c r="B27" s="4">
        <v>25</v>
      </c>
      <c r="C27" s="4">
        <v>1.7</v>
      </c>
      <c r="D27" s="4">
        <v>6.5</v>
      </c>
      <c r="E27" s="4">
        <v>0</v>
      </c>
      <c r="F27" s="4">
        <v>0</v>
      </c>
      <c r="G27" s="4" t="s">
        <v>187</v>
      </c>
    </row>
    <row r="28" spans="1:7">
      <c r="A28" s="4">
        <v>2030</v>
      </c>
      <c r="B28" s="4">
        <v>39</v>
      </c>
      <c r="C28" s="4">
        <v>10</v>
      </c>
      <c r="D28" s="4">
        <v>6.5</v>
      </c>
      <c r="E28" s="4">
        <v>15</v>
      </c>
      <c r="F28" s="4">
        <v>20</v>
      </c>
      <c r="G28" s="4" t="s">
        <v>189</v>
      </c>
    </row>
    <row r="29" spans="1:7">
      <c r="A29" s="4">
        <v>2035</v>
      </c>
      <c r="B29" s="4">
        <v>58</v>
      </c>
      <c r="C29" s="4">
        <v>25</v>
      </c>
      <c r="D29" s="4">
        <v>6.5</v>
      </c>
      <c r="E29" s="4">
        <v>18</v>
      </c>
      <c r="F29" s="4">
        <v>27</v>
      </c>
      <c r="G29" s="4" t="s">
        <v>190</v>
      </c>
    </row>
    <row r="30" spans="1:7">
      <c r="A30" s="4">
        <v>2038</v>
      </c>
      <c r="B30" s="4">
        <v>77.2</v>
      </c>
      <c r="C30" s="4">
        <v>40.700000000000003</v>
      </c>
      <c r="D30" s="4">
        <v>6.5</v>
      </c>
      <c r="E30" s="4">
        <v>21.5</v>
      </c>
      <c r="F30" s="4">
        <v>35</v>
      </c>
      <c r="G30" s="4" t="s">
        <v>189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workbookViewId="0"/>
  </sheetViews>
  <sheetFormatPr baseColWidth="10" defaultColWidth="8.83203125" defaultRowHeight="17"/>
  <cols>
    <col min="1" max="5" width="16" customWidth="1"/>
  </cols>
  <sheetData>
    <row r="1" spans="1:5" ht="20">
      <c r="A1" s="1" t="s">
        <v>209</v>
      </c>
    </row>
    <row r="3" spans="1:5">
      <c r="A3" s="9" t="s">
        <v>210</v>
      </c>
    </row>
    <row r="4" spans="1:5">
      <c r="A4" s="10" t="s">
        <v>211</v>
      </c>
      <c r="B4" s="10" t="s">
        <v>212</v>
      </c>
      <c r="C4" s="10" t="s">
        <v>213</v>
      </c>
      <c r="D4" s="10" t="s">
        <v>214</v>
      </c>
      <c r="E4" s="10" t="s">
        <v>12</v>
      </c>
    </row>
    <row r="5" spans="1:5">
      <c r="A5" s="4" t="s">
        <v>86</v>
      </c>
      <c r="B5" s="4">
        <v>2000</v>
      </c>
      <c r="C5" s="4">
        <v>999999</v>
      </c>
      <c r="D5" s="4" t="s">
        <v>215</v>
      </c>
      <c r="E5" s="4" t="s">
        <v>216</v>
      </c>
    </row>
    <row r="6" spans="1:5">
      <c r="A6" s="4" t="s">
        <v>86</v>
      </c>
      <c r="B6" s="4">
        <v>800</v>
      </c>
      <c r="C6" s="4">
        <v>2000</v>
      </c>
      <c r="D6" s="4" t="s">
        <v>217</v>
      </c>
      <c r="E6" s="4" t="s">
        <v>216</v>
      </c>
    </row>
    <row r="7" spans="1:5">
      <c r="A7" s="4" t="s">
        <v>86</v>
      </c>
      <c r="B7" s="4">
        <v>400</v>
      </c>
      <c r="C7" s="4">
        <v>800</v>
      </c>
      <c r="D7" s="4" t="s">
        <v>218</v>
      </c>
      <c r="E7" s="4" t="s">
        <v>216</v>
      </c>
    </row>
    <row r="8" spans="1:5">
      <c r="A8" s="4" t="s">
        <v>86</v>
      </c>
      <c r="B8" s="4">
        <v>100</v>
      </c>
      <c r="C8" s="4">
        <v>400</v>
      </c>
      <c r="D8" s="4" t="s">
        <v>219</v>
      </c>
      <c r="E8" s="4" t="s">
        <v>216</v>
      </c>
    </row>
    <row r="9" spans="1:5">
      <c r="A9" s="4" t="s">
        <v>86</v>
      </c>
      <c r="B9" s="4">
        <v>20</v>
      </c>
      <c r="C9" s="4">
        <v>100</v>
      </c>
      <c r="D9" s="4" t="s">
        <v>220</v>
      </c>
      <c r="E9" s="4" t="s">
        <v>216</v>
      </c>
    </row>
    <row r="10" spans="1:5">
      <c r="A10" s="4" t="s">
        <v>86</v>
      </c>
      <c r="B10" s="4">
        <v>0</v>
      </c>
      <c r="C10" s="4">
        <v>20</v>
      </c>
      <c r="D10" s="4" t="s">
        <v>221</v>
      </c>
      <c r="E10" s="4" t="s">
        <v>216</v>
      </c>
    </row>
    <row r="11" spans="1:5">
      <c r="A11" s="4" t="s">
        <v>222</v>
      </c>
      <c r="B11" s="4">
        <v>15</v>
      </c>
      <c r="C11" s="4">
        <v>999</v>
      </c>
      <c r="D11" s="4" t="s">
        <v>215</v>
      </c>
      <c r="E11" s="4" t="s">
        <v>216</v>
      </c>
    </row>
    <row r="12" spans="1:5">
      <c r="A12" s="4" t="s">
        <v>222</v>
      </c>
      <c r="B12" s="4">
        <v>11</v>
      </c>
      <c r="C12" s="4">
        <v>15</v>
      </c>
      <c r="D12" s="4" t="s">
        <v>217</v>
      </c>
      <c r="E12" s="4" t="s">
        <v>216</v>
      </c>
    </row>
    <row r="13" spans="1:5">
      <c r="A13" s="4" t="s">
        <v>222</v>
      </c>
      <c r="B13" s="4">
        <v>8</v>
      </c>
      <c r="C13" s="4">
        <v>11</v>
      </c>
      <c r="D13" s="4" t="s">
        <v>218</v>
      </c>
      <c r="E13" s="4" t="s">
        <v>216</v>
      </c>
    </row>
    <row r="14" spans="1:5">
      <c r="A14" s="4" t="s">
        <v>222</v>
      </c>
      <c r="B14" s="4">
        <v>4</v>
      </c>
      <c r="C14" s="4">
        <v>8</v>
      </c>
      <c r="D14" s="4" t="s">
        <v>219</v>
      </c>
      <c r="E14" s="4" t="s">
        <v>216</v>
      </c>
    </row>
    <row r="15" spans="1:5">
      <c r="A15" s="4" t="s">
        <v>222</v>
      </c>
      <c r="B15" s="4">
        <v>1</v>
      </c>
      <c r="C15" s="4">
        <v>4</v>
      </c>
      <c r="D15" s="4" t="s">
        <v>220</v>
      </c>
      <c r="E15" s="4" t="s">
        <v>216</v>
      </c>
    </row>
    <row r="16" spans="1:5">
      <c r="A16" s="4" t="s">
        <v>222</v>
      </c>
      <c r="B16" s="4">
        <v>0</v>
      </c>
      <c r="C16" s="4">
        <v>1</v>
      </c>
      <c r="D16" s="4" t="s">
        <v>221</v>
      </c>
      <c r="E16" s="4" t="s">
        <v>216</v>
      </c>
    </row>
    <row r="17" spans="1:5">
      <c r="A17" s="4" t="s">
        <v>222</v>
      </c>
      <c r="B17" s="4">
        <v>-10</v>
      </c>
      <c r="C17" s="4">
        <v>0</v>
      </c>
      <c r="D17" s="4" t="s">
        <v>221</v>
      </c>
      <c r="E17" s="4" t="s">
        <v>223</v>
      </c>
    </row>
    <row r="18" spans="1:5">
      <c r="A18" s="4" t="s">
        <v>222</v>
      </c>
      <c r="B18" s="4">
        <v>-20</v>
      </c>
      <c r="C18" s="4">
        <v>-10</v>
      </c>
      <c r="D18" s="4" t="s">
        <v>224</v>
      </c>
      <c r="E18" s="4" t="s">
        <v>225</v>
      </c>
    </row>
    <row r="19" spans="1:5">
      <c r="A19" s="4" t="s">
        <v>222</v>
      </c>
      <c r="B19" s="4">
        <v>-999</v>
      </c>
      <c r="C19" s="4">
        <v>-20</v>
      </c>
      <c r="D19" s="4" t="s">
        <v>226</v>
      </c>
      <c r="E19" s="4" t="s">
        <v>227</v>
      </c>
    </row>
    <row r="20" spans="1:5">
      <c r="A20" s="4" t="s">
        <v>228</v>
      </c>
      <c r="B20" s="4">
        <v>12</v>
      </c>
      <c r="C20" s="4">
        <v>999</v>
      </c>
      <c r="D20" s="4" t="s">
        <v>215</v>
      </c>
      <c r="E20" s="4" t="s">
        <v>216</v>
      </c>
    </row>
    <row r="21" spans="1:5">
      <c r="A21" s="4" t="s">
        <v>228</v>
      </c>
      <c r="B21" s="4">
        <v>6</v>
      </c>
      <c r="C21" s="4">
        <v>12</v>
      </c>
      <c r="D21" s="4" t="s">
        <v>217</v>
      </c>
      <c r="E21" s="4" t="s">
        <v>216</v>
      </c>
    </row>
    <row r="22" spans="1:5">
      <c r="A22" s="4" t="s">
        <v>228</v>
      </c>
      <c r="B22" s="4">
        <v>4</v>
      </c>
      <c r="C22" s="4">
        <v>6</v>
      </c>
      <c r="D22" s="4" t="s">
        <v>218</v>
      </c>
      <c r="E22" s="4" t="s">
        <v>216</v>
      </c>
    </row>
    <row r="23" spans="1:5">
      <c r="A23" s="4" t="s">
        <v>228</v>
      </c>
      <c r="B23" s="4">
        <v>2</v>
      </c>
      <c r="C23" s="4">
        <v>4</v>
      </c>
      <c r="D23" s="4" t="s">
        <v>219</v>
      </c>
      <c r="E23" s="4" t="s">
        <v>216</v>
      </c>
    </row>
    <row r="24" spans="1:5">
      <c r="A24" s="4" t="s">
        <v>228</v>
      </c>
      <c r="B24" s="4">
        <v>1</v>
      </c>
      <c r="C24" s="4">
        <v>2</v>
      </c>
      <c r="D24" s="4" t="s">
        <v>220</v>
      </c>
      <c r="E24" s="4" t="s">
        <v>216</v>
      </c>
    </row>
    <row r="25" spans="1:5">
      <c r="A25" s="4" t="s">
        <v>228</v>
      </c>
      <c r="B25" s="4">
        <v>0.5</v>
      </c>
      <c r="C25" s="4">
        <v>1</v>
      </c>
      <c r="D25" s="4" t="s">
        <v>221</v>
      </c>
      <c r="E25" s="4" t="s">
        <v>216</v>
      </c>
    </row>
    <row r="26" spans="1:5">
      <c r="A26" s="4" t="s">
        <v>228</v>
      </c>
      <c r="B26" s="4">
        <v>0</v>
      </c>
      <c r="C26" s="4">
        <v>0.5</v>
      </c>
      <c r="D26" s="4" t="s">
        <v>224</v>
      </c>
      <c r="E26" s="4" t="s">
        <v>225</v>
      </c>
    </row>
    <row r="27" spans="1:5">
      <c r="A27" s="4" t="s">
        <v>228</v>
      </c>
      <c r="B27" s="4">
        <v>-2</v>
      </c>
      <c r="C27" s="4">
        <v>0</v>
      </c>
      <c r="D27" s="4" t="s">
        <v>226</v>
      </c>
      <c r="E27" s="4" t="s">
        <v>225</v>
      </c>
    </row>
    <row r="28" spans="1:5">
      <c r="A28" s="4" t="s">
        <v>228</v>
      </c>
      <c r="B28" s="4">
        <v>-5</v>
      </c>
      <c r="C28" s="4">
        <v>-2</v>
      </c>
      <c r="D28" s="4" t="s">
        <v>38</v>
      </c>
      <c r="E28" s="4" t="s">
        <v>229</v>
      </c>
    </row>
    <row r="29" spans="1:5">
      <c r="A29" s="4" t="s">
        <v>228</v>
      </c>
      <c r="B29" s="4">
        <v>-999</v>
      </c>
      <c r="C29" s="4">
        <v>-5</v>
      </c>
      <c r="D29" s="4" t="s">
        <v>230</v>
      </c>
      <c r="E29" s="4" t="s">
        <v>231</v>
      </c>
    </row>
    <row r="30" spans="1:5">
      <c r="A30" s="4" t="s">
        <v>232</v>
      </c>
      <c r="B30" s="4">
        <v>2.5</v>
      </c>
      <c r="C30" s="4">
        <v>999</v>
      </c>
      <c r="D30" s="4" t="s">
        <v>215</v>
      </c>
      <c r="E30" s="4" t="s">
        <v>233</v>
      </c>
    </row>
    <row r="31" spans="1:5">
      <c r="A31" s="4" t="s">
        <v>232</v>
      </c>
      <c r="B31" s="4">
        <v>2</v>
      </c>
      <c r="C31" s="4">
        <v>2.5</v>
      </c>
      <c r="D31" s="4" t="s">
        <v>217</v>
      </c>
      <c r="E31" s="4" t="s">
        <v>233</v>
      </c>
    </row>
    <row r="32" spans="1:5">
      <c r="A32" s="4" t="s">
        <v>232</v>
      </c>
      <c r="B32" s="4">
        <v>1.6</v>
      </c>
      <c r="C32" s="4">
        <v>2</v>
      </c>
      <c r="D32" s="4" t="s">
        <v>218</v>
      </c>
      <c r="E32" s="4" t="s">
        <v>234</v>
      </c>
    </row>
    <row r="33" spans="1:5">
      <c r="A33" s="4" t="s">
        <v>232</v>
      </c>
      <c r="B33" s="4">
        <v>1.3</v>
      </c>
      <c r="C33" s="4">
        <v>1.6</v>
      </c>
      <c r="D33" s="4" t="s">
        <v>219</v>
      </c>
      <c r="E33" s="4" t="s">
        <v>234</v>
      </c>
    </row>
    <row r="34" spans="1:5">
      <c r="A34" s="4" t="s">
        <v>232</v>
      </c>
      <c r="B34" s="4">
        <v>1.1000000000000001</v>
      </c>
      <c r="C34" s="4">
        <v>1.3</v>
      </c>
      <c r="D34" s="4" t="s">
        <v>220</v>
      </c>
      <c r="E34" s="4" t="s">
        <v>234</v>
      </c>
    </row>
    <row r="35" spans="1:5">
      <c r="A35" s="4" t="s">
        <v>232</v>
      </c>
      <c r="B35" s="4">
        <v>1</v>
      </c>
      <c r="C35" s="4">
        <v>1.1000000000000001</v>
      </c>
      <c r="D35" s="4" t="s">
        <v>221</v>
      </c>
      <c r="E35" s="4" t="s">
        <v>234</v>
      </c>
    </row>
    <row r="36" spans="1:5">
      <c r="A36" s="4" t="s">
        <v>232</v>
      </c>
      <c r="B36" s="4">
        <v>0.8</v>
      </c>
      <c r="C36" s="4">
        <v>1</v>
      </c>
      <c r="D36" s="4" t="s">
        <v>224</v>
      </c>
      <c r="E36" s="4" t="s">
        <v>234</v>
      </c>
    </row>
    <row r="37" spans="1:5">
      <c r="A37" s="4" t="s">
        <v>232</v>
      </c>
      <c r="B37" s="4">
        <v>0.5</v>
      </c>
      <c r="C37" s="4">
        <v>0.8</v>
      </c>
      <c r="D37" s="4" t="s">
        <v>226</v>
      </c>
      <c r="E37" s="4" t="s">
        <v>234</v>
      </c>
    </row>
    <row r="38" spans="1:5">
      <c r="A38" s="4" t="s">
        <v>232</v>
      </c>
      <c r="B38" s="4">
        <v>0</v>
      </c>
      <c r="C38" s="4">
        <v>0.5</v>
      </c>
      <c r="D38" s="4" t="s">
        <v>38</v>
      </c>
      <c r="E38" s="4" t="s">
        <v>234</v>
      </c>
    </row>
    <row r="39" spans="1:5">
      <c r="A39" s="4" t="s">
        <v>232</v>
      </c>
      <c r="B39" s="4">
        <v>-999</v>
      </c>
      <c r="C39" s="4">
        <v>0</v>
      </c>
      <c r="D39" s="4" t="s">
        <v>230</v>
      </c>
      <c r="E39" s="4" t="s">
        <v>234</v>
      </c>
    </row>
    <row r="41" spans="1:5">
      <c r="A41" s="9" t="s">
        <v>235</v>
      </c>
    </row>
    <row r="42" spans="1:5">
      <c r="A42" s="10" t="s">
        <v>214</v>
      </c>
      <c r="B42" s="10" t="s">
        <v>236</v>
      </c>
      <c r="C42" s="10" t="s">
        <v>12</v>
      </c>
    </row>
    <row r="43" spans="1:5">
      <c r="A43" s="4" t="s">
        <v>215</v>
      </c>
      <c r="B43" s="4">
        <v>50</v>
      </c>
      <c r="C43" s="4" t="s">
        <v>237</v>
      </c>
    </row>
    <row r="44" spans="1:5">
      <c r="A44" s="4" t="s">
        <v>217</v>
      </c>
      <c r="B44" s="4">
        <v>100</v>
      </c>
      <c r="C44" s="4" t="s">
        <v>237</v>
      </c>
    </row>
    <row r="45" spans="1:5">
      <c r="A45" s="4" t="s">
        <v>218</v>
      </c>
      <c r="B45" s="4">
        <v>150</v>
      </c>
      <c r="C45" s="4" t="s">
        <v>237</v>
      </c>
    </row>
    <row r="46" spans="1:5">
      <c r="A46" s="4" t="s">
        <v>219</v>
      </c>
      <c r="B46" s="4">
        <v>250</v>
      </c>
      <c r="C46" s="4" t="s">
        <v>237</v>
      </c>
    </row>
    <row r="47" spans="1:5">
      <c r="A47" s="4" t="s">
        <v>220</v>
      </c>
      <c r="B47" s="4">
        <v>400</v>
      </c>
      <c r="C47" s="4" t="s">
        <v>237</v>
      </c>
    </row>
    <row r="48" spans="1:5">
      <c r="A48" s="4" t="s">
        <v>221</v>
      </c>
      <c r="B48" s="4">
        <v>600</v>
      </c>
      <c r="C48" s="4" t="s">
        <v>237</v>
      </c>
    </row>
    <row r="49" spans="1:3">
      <c r="A49" s="4" t="s">
        <v>224</v>
      </c>
      <c r="B49" s="4">
        <v>900</v>
      </c>
      <c r="C49" s="4" t="s">
        <v>238</v>
      </c>
    </row>
    <row r="50" spans="1:3">
      <c r="A50" s="4" t="s">
        <v>226</v>
      </c>
      <c r="B50" s="4">
        <v>1500</v>
      </c>
      <c r="C50" s="4" t="s">
        <v>239</v>
      </c>
    </row>
    <row r="51" spans="1:3">
      <c r="A51" s="4" t="s">
        <v>38</v>
      </c>
      <c r="B51" s="4">
        <v>2500</v>
      </c>
      <c r="C51" s="4" t="s">
        <v>240</v>
      </c>
    </row>
    <row r="52" spans="1:3">
      <c r="A52" s="4" t="s">
        <v>230</v>
      </c>
      <c r="B52" s="4">
        <v>5000</v>
      </c>
      <c r="C52" s="4" t="s">
        <v>241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topLeftCell="A2" zoomScale="125" workbookViewId="0">
      <selection activeCell="C17" sqref="C17"/>
    </sheetView>
  </sheetViews>
  <sheetFormatPr baseColWidth="10" defaultColWidth="8.83203125" defaultRowHeight="17"/>
  <cols>
    <col min="1" max="1" width="5" customWidth="1"/>
    <col min="2" max="2" width="28" customWidth="1"/>
    <col min="3" max="3" width="16" customWidth="1"/>
    <col min="4" max="4" width="12" customWidth="1"/>
  </cols>
  <sheetData>
    <row r="1" spans="1:4" ht="20">
      <c r="A1" s="1" t="s">
        <v>242</v>
      </c>
    </row>
    <row r="3" spans="1:4">
      <c r="A3" s="3"/>
      <c r="B3" s="3" t="s">
        <v>243</v>
      </c>
      <c r="C3" s="3" t="s">
        <v>244</v>
      </c>
      <c r="D3" s="3" t="s">
        <v>245</v>
      </c>
    </row>
    <row r="4" spans="1:4">
      <c r="A4" s="4" t="s">
        <v>246</v>
      </c>
      <c r="B4" s="4" t="s">
        <v>247</v>
      </c>
      <c r="C4" s="4">
        <f>HazardData!B5</f>
        <v>0.75</v>
      </c>
      <c r="D4" s="4" t="s">
        <v>248</v>
      </c>
    </row>
    <row r="5" spans="1:4">
      <c r="A5" s="4" t="s">
        <v>249</v>
      </c>
      <c r="B5" s="4" t="s">
        <v>250</v>
      </c>
      <c r="C5" s="4">
        <f>HazardData!C17</f>
        <v>1.3</v>
      </c>
      <c r="D5" s="4" t="s">
        <v>251</v>
      </c>
    </row>
    <row r="6" spans="1:4">
      <c r="A6" s="4" t="s">
        <v>252</v>
      </c>
      <c r="B6" s="4" t="s">
        <v>253</v>
      </c>
      <c r="C6" s="4">
        <f>HazardData!B40</f>
        <v>0.2</v>
      </c>
      <c r="D6" s="4" t="s">
        <v>254</v>
      </c>
    </row>
    <row r="7" spans="1:4">
      <c r="A7" s="4" t="s">
        <v>255</v>
      </c>
      <c r="B7" s="4" t="s">
        <v>256</v>
      </c>
      <c r="C7" s="4">
        <f>HazardData!D40</f>
        <v>2</v>
      </c>
      <c r="D7" s="4" t="s">
        <v>257</v>
      </c>
    </row>
    <row r="8" spans="1:4">
      <c r="A8" s="4" t="s">
        <v>258</v>
      </c>
      <c r="B8" s="4" t="s">
        <v>259</v>
      </c>
      <c r="C8" s="4">
        <f>HazardData!F40</f>
        <v>48</v>
      </c>
      <c r="D8" s="4" t="s">
        <v>257</v>
      </c>
    </row>
    <row r="10" spans="1:4">
      <c r="A10" s="4" t="s">
        <v>260</v>
      </c>
      <c r="B10" s="4" t="s">
        <v>86</v>
      </c>
      <c r="C10" s="4">
        <f>PlantFinance!B5</f>
        <v>2100</v>
      </c>
      <c r="D10" s="4" t="s">
        <v>87</v>
      </c>
    </row>
    <row r="11" spans="1:4">
      <c r="A11" s="4" t="s">
        <v>261</v>
      </c>
      <c r="B11" s="4" t="s">
        <v>89</v>
      </c>
      <c r="C11" s="4">
        <f>PlantFinance!B6</f>
        <v>0.6</v>
      </c>
      <c r="D11" s="4" t="s">
        <v>163</v>
      </c>
    </row>
    <row r="12" spans="1:4">
      <c r="A12" s="4" t="s">
        <v>262</v>
      </c>
      <c r="B12" s="4" t="s">
        <v>263</v>
      </c>
      <c r="C12" s="4">
        <f>PlantFinance!B28</f>
        <v>80</v>
      </c>
      <c r="D12" s="4" t="s">
        <v>95</v>
      </c>
    </row>
    <row r="13" spans="1:4">
      <c r="A13" s="4" t="s">
        <v>264</v>
      </c>
      <c r="B13" s="4" t="s">
        <v>265</v>
      </c>
      <c r="C13" s="4">
        <f>PlantFinance!B8</f>
        <v>45</v>
      </c>
      <c r="D13" s="4" t="s">
        <v>95</v>
      </c>
    </row>
    <row r="14" spans="1:4">
      <c r="A14" s="4" t="s">
        <v>266</v>
      </c>
      <c r="B14" s="4" t="s">
        <v>267</v>
      </c>
      <c r="C14" s="4">
        <f>PlantFinance!B10</f>
        <v>35</v>
      </c>
      <c r="D14" s="4" t="s">
        <v>268</v>
      </c>
    </row>
    <row r="15" spans="1:4">
      <c r="A15" s="4" t="s">
        <v>269</v>
      </c>
      <c r="B15" s="4" t="s">
        <v>97</v>
      </c>
      <c r="C15" s="4">
        <f>PlantFinance!B11</f>
        <v>4.5</v>
      </c>
      <c r="D15" s="4" t="s">
        <v>95</v>
      </c>
    </row>
    <row r="16" spans="1:4">
      <c r="A16" s="4" t="s">
        <v>270</v>
      </c>
      <c r="B16" s="4" t="s">
        <v>271</v>
      </c>
      <c r="C16" s="4">
        <f>PlantFinance!B12</f>
        <v>3550</v>
      </c>
      <c r="D16" s="4" t="s">
        <v>272</v>
      </c>
    </row>
    <row r="17" spans="1:4">
      <c r="A17" s="4" t="s">
        <v>273</v>
      </c>
      <c r="B17" s="4" t="s">
        <v>110</v>
      </c>
      <c r="C17" s="4">
        <f>PlantFinance!B14</f>
        <v>0.8</v>
      </c>
      <c r="D17" s="4" t="s">
        <v>163</v>
      </c>
    </row>
    <row r="18" spans="1:4">
      <c r="A18" s="4" t="s">
        <v>274</v>
      </c>
      <c r="B18" s="4" t="s">
        <v>275</v>
      </c>
      <c r="C18" s="4">
        <f>PlantFinance!B16</f>
        <v>0.05</v>
      </c>
      <c r="D18" s="4" t="s">
        <v>163</v>
      </c>
    </row>
    <row r="19" spans="1:4">
      <c r="A19" s="4" t="s">
        <v>276</v>
      </c>
      <c r="B19" s="4" t="s">
        <v>277</v>
      </c>
      <c r="C19" s="4">
        <f>CreditData!B44</f>
        <v>100</v>
      </c>
      <c r="D19" s="4" t="s">
        <v>161</v>
      </c>
    </row>
    <row r="21" spans="1:4">
      <c r="A21" s="11"/>
      <c r="B21" s="11" t="s">
        <v>278</v>
      </c>
      <c r="C21" s="11" t="s">
        <v>279</v>
      </c>
      <c r="D21" s="11" t="s">
        <v>245</v>
      </c>
    </row>
    <row r="22" spans="1:4">
      <c r="B22" s="4" t="s">
        <v>280</v>
      </c>
      <c r="C22" s="12">
        <f>C4*C5</f>
        <v>0.97500000000000009</v>
      </c>
      <c r="D22" s="4" t="s">
        <v>248</v>
      </c>
    </row>
    <row r="23" spans="1:4">
      <c r="B23" s="4" t="s">
        <v>281</v>
      </c>
      <c r="C23" s="12">
        <f>1-EXP(-C6*C7)</f>
        <v>0.32967995396436067</v>
      </c>
      <c r="D23" s="4" t="s">
        <v>282</v>
      </c>
    </row>
    <row r="24" spans="1:4">
      <c r="B24" s="4" t="s">
        <v>283</v>
      </c>
      <c r="C24" s="13">
        <f>C22*C23*(C8/8760)</f>
        <v>1.7613038636452147E-3</v>
      </c>
      <c r="D24" s="4" t="s">
        <v>163</v>
      </c>
    </row>
    <row r="25" spans="1:4">
      <c r="B25" s="4" t="s">
        <v>284</v>
      </c>
      <c r="C25" s="14">
        <f>C24*8760</f>
        <v>15.42902184553208</v>
      </c>
      <c r="D25" s="4" t="s">
        <v>285</v>
      </c>
    </row>
    <row r="27" spans="1:4">
      <c r="B27" s="4" t="s">
        <v>286</v>
      </c>
      <c r="C27" s="15">
        <f>C10*C11*8760</f>
        <v>11037600</v>
      </c>
      <c r="D27" s="4" t="s">
        <v>287</v>
      </c>
    </row>
    <row r="28" spans="1:4">
      <c r="B28" s="4" t="s">
        <v>288</v>
      </c>
      <c r="C28" s="15">
        <f>C27*C12</f>
        <v>883008000</v>
      </c>
      <c r="D28" s="4" t="s">
        <v>289</v>
      </c>
    </row>
    <row r="29" spans="1:4">
      <c r="B29" s="4" t="s">
        <v>290</v>
      </c>
      <c r="C29" s="15">
        <f>C28*(1-C24)</f>
        <v>881452754.59797037</v>
      </c>
      <c r="D29" s="4" t="s">
        <v>289</v>
      </c>
    </row>
    <row r="30" spans="1:4">
      <c r="B30" s="4" t="s">
        <v>291</v>
      </c>
      <c r="C30" s="15">
        <f>C27*C13</f>
        <v>496692000</v>
      </c>
      <c r="D30" s="4" t="s">
        <v>289</v>
      </c>
    </row>
    <row r="31" spans="1:4">
      <c r="B31" s="4" t="s">
        <v>101</v>
      </c>
      <c r="C31" s="15">
        <f>C14*C10*1000</f>
        <v>73500000</v>
      </c>
      <c r="D31" s="4" t="s">
        <v>289</v>
      </c>
    </row>
    <row r="32" spans="1:4">
      <c r="B32" s="4" t="s">
        <v>98</v>
      </c>
      <c r="C32" s="15">
        <f>C15*C27</f>
        <v>49669200</v>
      </c>
      <c r="D32" s="4" t="s">
        <v>289</v>
      </c>
    </row>
    <row r="33" spans="2:4">
      <c r="B33" s="16" t="s">
        <v>292</v>
      </c>
      <c r="C33" s="17">
        <f>C29-C30-C31-C32</f>
        <v>261591554.59797037</v>
      </c>
      <c r="D33" s="4" t="s">
        <v>289</v>
      </c>
    </row>
    <row r="34" spans="2:4">
      <c r="B34" s="4" t="s">
        <v>293</v>
      </c>
      <c r="C34" s="15">
        <f>C16*1000000*C17*C18</f>
        <v>142000000</v>
      </c>
      <c r="D34" s="4" t="s">
        <v>289</v>
      </c>
    </row>
    <row r="35" spans="2:4">
      <c r="B35" s="16" t="s">
        <v>294</v>
      </c>
      <c r="C35" s="18">
        <f>C33/C34</f>
        <v>1.8421940464645801</v>
      </c>
      <c r="D35" s="4" t="s">
        <v>295</v>
      </c>
    </row>
    <row r="37" spans="2:4">
      <c r="B37" s="16" t="s">
        <v>296</v>
      </c>
      <c r="C37" s="16" t="str">
        <f>IF(C35&gt;=2.5,"AAA",IF(C35&gt;=2,"AA",IF(C35&gt;=1.6,"A",IF(C35&gt;=1.3,"BBB",IF(C35&gt;=1.1,"BB","B")))))</f>
        <v>A</v>
      </c>
      <c r="D37" s="4" t="s">
        <v>214</v>
      </c>
    </row>
    <row r="38" spans="2:4">
      <c r="B38" s="4" t="s">
        <v>297</v>
      </c>
      <c r="C38" s="4">
        <f>IF(C37="AAA",50,IF(C37="AA",100,IF(C37="A",150,IF(C37="BBB",250,IF(C37="BB",400,600)))))</f>
        <v>150</v>
      </c>
      <c r="D38" s="4" t="s">
        <v>161</v>
      </c>
    </row>
    <row r="39" spans="2:4">
      <c r="B39" s="4" t="s">
        <v>298</v>
      </c>
      <c r="C39" s="4">
        <f>C19</f>
        <v>100</v>
      </c>
      <c r="D39" s="4" t="s">
        <v>161</v>
      </c>
    </row>
    <row r="40" spans="2:4" ht="20">
      <c r="B40" s="19" t="s">
        <v>299</v>
      </c>
      <c r="C40" s="20">
        <f>MAX(0,C38-C39)</f>
        <v>50</v>
      </c>
      <c r="D40" s="4" t="s">
        <v>161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HazardData</vt:lpstr>
      <vt:lpstr>PlantFinance</vt:lpstr>
      <vt:lpstr>TransitionData</vt:lpstr>
      <vt:lpstr>CreditData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 Park</cp:lastModifiedBy>
  <dcterms:created xsi:type="dcterms:W3CDTF">2026-05-04T12:09:14Z</dcterms:created>
  <dcterms:modified xsi:type="dcterms:W3CDTF">2026-05-04T12:14:52Z</dcterms:modified>
</cp:coreProperties>
</file>